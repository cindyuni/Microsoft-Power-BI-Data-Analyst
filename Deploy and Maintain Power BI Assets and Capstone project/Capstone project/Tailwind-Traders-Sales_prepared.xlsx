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</sheets>
  <definedNames/>
  <calcPr/>
</workbook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<sst xmlns="http://schemas.openxmlformats.org/spreadsheetml/2006/main" count="730" uniqueCount="467">
  <si>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</si>
  <si>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</si>
  <si>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>Product Name</t>
  </si>
  <si>
    <t>Product Description</t>
  </si>
  <si>
    <t>Gross Product Price</t>
  </si>
  <si>
    <t>Cost per Unit</t>
  </si>
  <si>
    <t>Tax Per Product</t>
  </si>
  <si>
    <t>Quantity Purchased</t>
  </si>
  <si>
    <t>Gross Revenue</t>
  </si>
  <si>
    <t>Total Tax</t>
  </si>
  <si>
    <t>Net Revenue</t>
  </si>
  <si>
    <t>Profit</t>
  </si>
  <si>
    <t>Product Category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</si>
  <si>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</si>
  <si>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</si>
  <si>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</si>
  <si>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</si>
  <si>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</si>
  <si>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</si>
  <si>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Country ID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</si>
  <si>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</si>
  <si>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</si>
  <si>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</si>
  <si>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</si>
  <si>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</si>
  <si>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</si>
  <si>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</si>
  <si>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</si>
  <si>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>UltraGrip Hammer</t>
  </si>
  <si>
    <t>A sturdy hammer with an ergonomic grip for carpentry works.</t>
  </si>
  <si>
    <t>Tools</t>
  </si>
  <si>
    <t xml:space="preserve"> TWH-024    </t>
  </si>
  <si>
    <t xml:space="preserve"> 0,1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</si>
  <si>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</si>
  <si>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</si>
  <si>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</si>
  <si>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</si>
  <si>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</si>
  <si>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</si>
  <si>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</si>
  <si>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</si>
  <si>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>Luminous Bulb 60W</t>
  </si>
  <si>
    <t>Energy-saving 60W bulb with a bright luminous output.</t>
  </si>
  <si>
    <t>Lighting</t>
  </si>
  <si>
    <t xml:space="preserve"> TWF-025    </t>
  </si>
  <si>
    <t xml:space="preserve"> 0,2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</si>
  <si>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</si>
  <si>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</si>
  <si>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</si>
  <si>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</si>
  <si>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</si>
  <si>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</si>
  <si>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</si>
  <si>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</si>
  <si>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</si>
  <si>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>Oakwood Shelf</t>
  </si>
  <si>
    <t>A durable oakwood shelf for home and office use.</t>
  </si>
  <si>
    <t>Furniture</t>
  </si>
  <si>
    <t xml:space="preserve"> TWK-026    </t>
  </si>
  <si>
    <t xml:space="preserve"> 2,5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</si>
  <si>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</si>
  <si>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</si>
  <si>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</si>
  <si>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</si>
  <si>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</si>
  <si>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</si>
  <si>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</si>
  <si>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>ProTile Cutter</t>
  </si>
  <si>
    <t>High precision tile cutter for professional use.</t>
  </si>
  <si>
    <t xml:space="preserve"> TWF-027    </t>
  </si>
  <si>
    <t xml:space="preserve"> 8,0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</si>
  <si>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</si>
  <si>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</si>
  <si>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</si>
  <si>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</si>
  <si>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</si>
  <si>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</si>
  <si>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</si>
  <si>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>Garden Glove Set</t>
  </si>
  <si>
    <t>Comfortable gloves for gardening tasks.</t>
  </si>
  <si>
    <t>Gardening</t>
  </si>
  <si>
    <t xml:space="preserve"> TWT-028    </t>
  </si>
  <si>
    <t xml:space="preserve"> 1,2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</si>
  <si>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</si>
  <si>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</si>
  <si>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</si>
  <si>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</si>
  <si>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</si>
  <si>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</si>
  <si>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>Steel Nails (1inch)</t>
  </si>
  <si>
    <t>Rust-resistant steel nails for construction.</t>
  </si>
  <si>
    <t>Hardware</t>
  </si>
  <si>
    <t xml:space="preserve"> TWH-029    </t>
  </si>
  <si>
    <t xml:space="preserve"> 1,5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</si>
  <si>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</si>
  <si>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</si>
  <si>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</si>
  <si>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</si>
  <si>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</si>
  <si>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</si>
  <si>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</si>
  <si>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>Luxury Paint (Blue)</t>
  </si>
  <si>
    <t>Premium quality blue paint for interior walls.</t>
  </si>
  <si>
    <t>Paint &amp; Decor</t>
  </si>
  <si>
    <t xml:space="preserve"> TWS-030    </t>
  </si>
  <si>
    <t xml:space="preserve"> 0,8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</si>
  <si>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</si>
  <si>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</si>
  <si>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</si>
  <si>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</si>
  <si>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</si>
  <si>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>Kitchen Sink (Steel)</t>
  </si>
  <si>
    <t>Stainless steel kitchen sink with a modern design.</t>
  </si>
  <si>
    <t>Plumbing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</si>
  <si>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</si>
  <si>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</si>
  <si>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</si>
  <si>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</si>
  <si>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</si>
  <si>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</si>
  <si>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</si>
  <si>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>Power Drill Set</t>
  </si>
  <si>
    <t>A complete drill set with multiple bits for various tasks.</t>
  </si>
  <si>
    <t xml:space="preserve"> TWG-032    </t>
  </si>
  <si>
    <t xml:space="preserve"> 0,5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</si>
  <si>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</si>
  <si>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</si>
  <si>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</si>
  <si>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</si>
  <si>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</si>
  <si>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>Floral Wallpaper</t>
  </si>
  <si>
    <t>Beautiful floral design wallpaper for home decor.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</si>
  <si>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</si>
  <si>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</si>
  <si>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</si>
  <si>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</si>
  <si>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</si>
  <si>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</si>
  <si>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</si>
  <si>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>Brass Door Knob</t>
  </si>
  <si>
    <t>Elegant brass doorknob for interior doors.</t>
  </si>
  <si>
    <t xml:space="preserve"> TWS-034    </t>
  </si>
  <si>
    <t xml:space="preserve"> 0,05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</si>
  <si>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</si>
  <si>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</si>
  <si>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</si>
  <si>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</si>
  <si>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>LED Garden Lights</t>
  </si>
  <si>
    <t>Set of 6 LED lights for garden or pathway illumination.</t>
  </si>
  <si>
    <t xml:space="preserve"> TWH-035    </t>
  </si>
  <si>
    <t xml:space="preserve"> 2,0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</si>
  <si>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</si>
  <si>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</si>
  <si>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</si>
  <si>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</si>
  <si>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>Compost Bin</t>
  </si>
  <si>
    <t>Durable compost bin for organic waste.</t>
  </si>
  <si>
    <t xml:space="preserve"> TWK-036    </t>
  </si>
  <si>
    <t xml:space="preserve"> 4,0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</si>
  <si>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</si>
  <si>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</si>
  <si>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</si>
  <si>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</si>
  <si>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>Ceramic Vase (Red)</t>
  </si>
  <si>
    <t>Red ceramic vase for home decor and floral arrangements.</t>
  </si>
  <si>
    <t>Home Decor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</si>
  <si>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</si>
  <si>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</si>
  <si>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</si>
  <si>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</si>
  <si>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</si>
  <si>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>Patio Chair Set</t>
  </si>
  <si>
    <t>Set of 2 chairs for patio or balcony seating.</t>
  </si>
  <si>
    <t xml:space="preserve"> TWO-038    </t>
  </si>
  <si>
    <t xml:space="preserve"> 6,0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</si>
  <si>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</si>
  <si>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</si>
  <si>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</si>
  <si>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</si>
  <si>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>Electric Lawnmower</t>
  </si>
  <si>
    <t>Efficient electric lawnmower for medium-sized lawns.</t>
  </si>
  <si>
    <t xml:space="preserve"> TWB-039    </t>
  </si>
  <si>
    <t xml:space="preserve"> 0,3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</si>
  <si>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</si>
  <si>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</si>
  <si>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</si>
  <si>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</si>
  <si>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>Kitchen Faucet</t>
  </si>
  <si>
    <t>Modern kitchen faucet with a chrome finish.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</si>
  <si>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</si>
  <si>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</si>
  <si>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</si>
  <si>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</si>
  <si>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</si>
  <si>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>Designer Wall Clock</t>
  </si>
  <si>
    <t>Stylish wall clock with quartz movement.</t>
  </si>
  <si>
    <t xml:space="preserve"> TWF-041    </t>
  </si>
  <si>
    <t xml:space="preserve"> 1,0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</si>
  <si>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</si>
  <si>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</si>
  <si>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</si>
  <si>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</si>
  <si>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>Granite Countertop</t>
  </si>
  <si>
    <t>Durable granite countertop for kitchens and bathrooms.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</si>
  <si>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</si>
  <si>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</si>
  <si>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</si>
  <si>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</si>
  <si>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</si>
  <si>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>Teakwood Desk</t>
  </si>
  <si>
    <t>Spacious teakwood desk for office and study areas.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</si>
  <si>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</si>
  <si>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</si>
  <si>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</si>
  <si>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</si>
  <si>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</si>
  <si>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>Marble Floor Tile</t>
  </si>
  <si>
    <t>Elegant marble tiles for luxurious flooring solutions.</t>
  </si>
  <si>
    <t>Flooring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</si>
  <si>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</si>
  <si>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</si>
  <si>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</si>
  <si>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</si>
  <si>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</si>
  <si>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>Solar Outdoor Lantern</t>
  </si>
  <si>
    <t>Solar-powered lantern for garden or patio lighting.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</si>
  <si>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</si>
  <si>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</si>
  <si>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</si>
  <si>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</si>
  <si>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</si>
  <si>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>Platinum Shower Head</t>
  </si>
  <si>
    <t>High-pressure shower head with a sleek platinum finish.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</si>
  <si>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</si>
  <si>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</si>
  <si>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</si>
  <si>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</si>
  <si>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</si>
  <si>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>ProCarpenter Toolkit</t>
  </si>
  <si>
    <t>Comprehensive toolset for advanced carpentry tasks.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</si>
  <si>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</si>
  <si>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</si>
  <si>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</si>
  <si>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</si>
  <si>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</si>
  <si>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>Rose Garden Fertilizer</t>
  </si>
  <si>
    <t>Specially formulated fertilizer for rose plants.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</si>
  <si>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</si>
  <si>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</si>
  <si>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</si>
  <si>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</si>
  <si>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</si>
  <si>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>Vintage Wall Mirror</t>
  </si>
  <si>
    <t>Decorative wall mirror with a vintage bronze frame.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</si>
  <si>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</si>
  <si>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</si>
  <si>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</si>
  <si>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</si>
  <si>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</si>
  <si>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>Digital Thermostat</t>
  </si>
  <si>
    <t>Energy-saving digital thermostat with touch controls.</t>
  </si>
  <si>
    <t>Electronics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</si>
  <si>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</si>
  <si>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</si>
  <si>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</si>
  <si>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</si>
  <si>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</si>
  <si>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>Oakwood Coffee Table</t>
  </si>
  <si>
    <t>Sturdy coffee table made from premium oakwood.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</si>
  <si>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</si>
  <si>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</si>
  <si>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</si>
  <si>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</si>
  <si>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</si>
  <si>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>Charcoal Grill Set</t>
  </si>
  <si>
    <t>Portable charcoal grill set for barbecues and picnics.</t>
  </si>
  <si>
    <t>Outdoor</t>
  </si>
  <si>
    <t xml:space="preserve"> TWG-053    </t>
  </si>
  <si>
    <t xml:space="preserve"> 1,6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</si>
  <si>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</si>
  <si>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</si>
  <si>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</si>
  <si>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</si>
  <si>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>Electric Screwdriver</t>
  </si>
  <si>
    <t>Cordless electric screwdriver with variable speed settings.</t>
  </si>
  <si>
    <t xml:space="preserve"> TWH-054    </t>
  </si>
  <si>
    <t xml:space="preserve"> 0,9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</si>
  <si>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</si>
  <si>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</si>
  <si>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</si>
  <si>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</si>
  <si>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>Velvet Cushion Cover</t>
  </si>
  <si>
    <t>Soft velvet cushion cover in a rich burgundy color.</t>
  </si>
  <si>
    <t xml:space="preserve"> TWK-055    </t>
  </si>
  <si>
    <t xml:space="preserve"> 0,4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</si>
  <si>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</si>
  <si>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</si>
  <si>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</si>
  <si>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</si>
  <si>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>Bamboo Plant Pot</t>
  </si>
  <si>
    <t>Biodegradable plant pot made from bamboo fibers.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</si>
  <si>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</si>
  <si>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</si>
  <si>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</si>
  <si>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</si>
  <si>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</si>
  <si>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>Steel Ladder (6ft)</t>
  </si>
  <si>
    <t>Durable 6-foot steel ladder for household and professional use.</t>
  </si>
  <si>
    <t xml:space="preserve"> TWF-057    </t>
  </si>
  <si>
    <t xml:space="preserve"> 0,7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</si>
  <si>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</si>
  <si>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</si>
  <si>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</si>
  <si>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</si>
  <si>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>Terracotta Floor Vase</t>
  </si>
  <si>
    <t>Handcrafted floor vase made from terracotta clay.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</si>
  <si>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</si>
  <si>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</si>
  <si>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</si>
  <si>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</si>
  <si>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</si>
  <si>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>Modern Pendant Light</t>
  </si>
  <si>
    <t>Contemporary pendant light with a matte black finish.</t>
  </si>
  <si>
    <t xml:space="preserve"> TWM-059    </t>
  </si>
  <si>
    <t xml:space="preserve"> 0,6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</si>
  <si>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</si>
  <si>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</si>
  <si>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</si>
  <si>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</si>
  <si>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>Outdoor Fire Pit</t>
  </si>
  <si>
    <t>Rustic fire pit for outdoor heating and ambiance.</t>
  </si>
  <si>
    <t xml:space="preserve"> TWK-060    </t>
  </si>
  <si>
    <t xml:space="preserve"> 1,3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</si>
  <si>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</si>
  <si>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</si>
  <si>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</si>
  <si>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</si>
  <si>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>Cedar Wardrobe Closet</t>
  </si>
  <si>
    <t>Spacious wardrobe made from aromatic cedar wood.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</si>
  <si>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</si>
  <si>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</si>
  <si>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</si>
  <si>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</si>
  <si>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</si>
  <si>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>Motion Sensor Alarm</t>
  </si>
  <si>
    <t>Wireless motion sensor alarm for home security.</t>
  </si>
  <si>
    <t>Security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</si>
  <si>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</si>
  <si>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</si>
  <si>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</si>
  <si>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</si>
  <si>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</si>
  <si>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>Fabric Window Blinds</t>
  </si>
  <si>
    <t>Adjustable window blinds made from durable fabric material.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</si>
  <si>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</si>
  <si>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</si>
  <si>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</si>
  <si>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</si>
  <si>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</si>
  <si>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>Luxury Bath Towel Set</t>
  </si>
  <si>
    <t>Soft and absorbent bath towel set in a light gray hue.</t>
  </si>
  <si>
    <t>Home Essentials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</si>
  <si>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</si>
  <si>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</si>
  <si>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</si>
  <si>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</si>
  <si>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</si>
  <si>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>Tropical Plant Mix</t>
  </si>
  <si>
    <t>A selection of tropical plants for indoor gardening.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</si>
  <si>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</si>
  <si>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</si>
  <si>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</si>
  <si>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</si>
  <si>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</si>
  <si>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>Luxury Chandelier</t>
  </si>
  <si>
    <t>Crystal chandelier with gold accents for elegant interiors.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</si>
  <si>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</si>
  <si>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</si>
  <si>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</si>
  <si>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</si>
  <si>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</si>
  <si>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>Cast Iron Skillet</t>
  </si>
  <si>
    <t>Durable cast iron skillet perfect for even cooking.</t>
  </si>
  <si>
    <t>Kitchenware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</si>
  <si>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</si>
  <si>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</si>
  <si>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</si>
  <si>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</si>
  <si>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</si>
  <si>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>Woven Storage Basket</t>
  </si>
  <si>
    <t>Hand-woven basket for storage and organization.</t>
  </si>
  <si>
    <t xml:space="preserve"> TWO-068    </t>
  </si>
  <si>
    <t xml:space="preserve"> 0,03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</si>
  <si>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</si>
  <si>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</si>
  <si>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</si>
  <si>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</si>
  <si>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>Cordless Leaf Blower</t>
  </si>
  <si>
    <t>High-power leaf blower for garden maintenance.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</si>
  <si>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</si>
  <si>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</si>
  <si>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</si>
  <si>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</si>
  <si>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</si>
  <si>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>Quartz Kitchen Counter</t>
  </si>
  <si>
    <t>Premium quartz counter for modern kitchens.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</si>
  <si>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</si>
  <si>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</si>
  <si>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</si>
  <si>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</si>
  <si>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</si>
  <si>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>Handheld Vacuum Cleaner</t>
  </si>
  <si>
    <t>Compact and powerful vacuum cleaner for quick cleanups.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</si>
  <si>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</si>
  <si>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</si>
  <si>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</si>
  <si>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</si>
  <si>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</si>
  <si>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>Brass Coat Rack</t>
  </si>
  <si>
    <t>Sturdy coat rack with a polished brass finish.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</si>
  <si>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</si>
  <si>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</si>
  <si>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</si>
  <si>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</si>
  <si>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</si>
  <si>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>Electric Water Heater</t>
  </si>
  <si>
    <t>Energy-efficient water heater with a 50-gallon capacity.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</si>
  <si>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</si>
  <si>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</si>
  <si>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</si>
  <si>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</si>
  <si>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</si>
  <si>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>Porcelain Dinner Set</t>
  </si>
  <si>
    <t>Elegant dinner set made of fine porcelain.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</si>
  <si>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</si>
  <si>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</si>
  <si>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</si>
  <si>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</si>
  <si>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</si>
  <si>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>Linen Curtain Panels</t>
  </si>
  <si>
    <t>Soft linen curtains in a neutral beige color.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</si>
  <si>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</si>
  <si>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</si>
  <si>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</si>
  <si>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</si>
  <si>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</si>
  <si>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>Organic Potting Soil</t>
  </si>
  <si>
    <t>Nutrient-rich potting soil for healthy plants.</t>
  </si>
  <si>
    <t xml:space="preserve"> TWK-076    </t>
  </si>
  <si>
    <t xml:space="preserve"> 1,1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</si>
  <si>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</si>
  <si>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</si>
  <si>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</si>
  <si>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</si>
  <si>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>Modular Sofa Set</t>
  </si>
  <si>
    <t>Modern modular sofa set with adjustable configurations.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</si>
  <si>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</si>
  <si>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</si>
  <si>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</si>
  <si>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</si>
  <si>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</si>
  <si>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>Slate Tile Pack</t>
  </si>
  <si>
    <t>Natural slate tiles for rustic flooring designs.</t>
  </si>
  <si>
    <t xml:space="preserve"> TWH-078    </t>
  </si>
  <si>
    <t xml:space="preserve"> C078     </t>
  </si>
  <si>
    <t xml:space="preserve"> 32 Smile Ln              </t>
  </si>
  <si>
    <t xml:space="preserve"> avaS@email.com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</si>
</sst>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7.0"/>
    <col customWidth="1" min="3" max="3" width="23.71"/>
    <col customWidth="1" min="4" max="4" width="54.71"/>
    <col customWidth="1" min="5" max="6" width="17.71"/>
    <col customWidth="1" min="7" max="7" width="14.29"/>
    <col customWidth="1" min="8" max="8" width="17.86"/>
    <col customWidth="1" min="9" max="13" width="15.86"/>
    <col customWidth="1" min="14" max="14" width="12.86"/>
    <col customWidth="1" min="15" max="15" width="8.14"/>
    <col customWidth="1" min="16" max="16" width="7.71"/>
    <col customWidth="1" min="17" max="17" width="9.29"/>
    <col customWidth="1" min="18" max="18" width="7.0"/>
    <col customWidth="1" min="19" max="19" width="7.14"/>
    <col customWidth="1" min="20" max="20" width="10.71"/>
    <col customWidth="1" min="21" max="21" width="10.14"/>
    <col customWidth="1" min="22" max="22" width="11.71"/>
    <col customWidth="1" min="23" max="23" width="20.43"/>
    <col customWidth="1" min="24" max="24" width="10.0"/>
    <col customWidth="1" min="25" max="25" width="9.57"/>
    <col customWidth="1" min="26" max="26" width="21.57"/>
    <col customWidth="1" min="27" max="27" width="13.29"/>
    <col customWidth="1" min="28" max="3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4.25" customHeight="1">
      <c r="A2" s="1">
        <v>1024.0</v>
      </c>
      <c r="B2" s="1" t="s">
        <v>27</v>
      </c>
      <c r="C2" s="1" t="s">
        <v>28</v>
      </c>
      <c r="D2" s="1" t="s">
        <v>29</v>
      </c>
      <c r="E2" s="1">
        <v>60.0</v>
      </c>
      <c r="F2" s="1">
        <f t="shared" ref="F2:F55" si="1">E2*0.35</f>
        <v>21</v>
      </c>
      <c r="G2" s="1">
        <v>8.4</v>
      </c>
      <c r="H2" s="1">
        <v>2.0</v>
      </c>
      <c r="I2" s="1">
        <f t="shared" ref="I2:I55" si="2">E2*H2</f>
        <v>120</v>
      </c>
      <c r="J2" s="1">
        <f t="shared" ref="J2:J55" si="3">G2*H2</f>
        <v>16.8</v>
      </c>
      <c r="K2" s="1">
        <f t="shared" ref="K2:K55" si="4">I2-J2</f>
        <v>103.2</v>
      </c>
      <c r="L2" s="1">
        <f t="shared" ref="L2:L55" si="5">K2-(F2*H2)</f>
        <v>61.2</v>
      </c>
      <c r="M2" s="1" t="s">
        <v>30</v>
      </c>
      <c r="N2" s="1" t="s">
        <v>31</v>
      </c>
      <c r="O2" s="3" t="s">
        <v>32</v>
      </c>
      <c r="P2" s="1" t="s">
        <v>33</v>
      </c>
      <c r="Q2" s="1" t="s">
        <v>34</v>
      </c>
      <c r="R2" s="1" t="s">
        <v>35</v>
      </c>
      <c r="S2" s="1">
        <v>320.0</v>
      </c>
      <c r="T2" s="1">
        <v>1.0</v>
      </c>
      <c r="U2" s="1" t="s">
        <v>36</v>
      </c>
      <c r="V2" s="1" t="s">
        <v>37</v>
      </c>
      <c r="W2" s="1" t="s">
        <v>38</v>
      </c>
      <c r="X2" s="1">
        <v>46575.0</v>
      </c>
      <c r="Y2" s="1">
        <v>1112222.0</v>
      </c>
      <c r="Z2" s="1" t="s">
        <v>39</v>
      </c>
      <c r="AA2" s="1">
        <v>7.0</v>
      </c>
    </row>
    <row r="3" ht="14.25" customHeight="1">
      <c r="A3" s="1">
        <v>1025.0</v>
      </c>
      <c r="B3" s="1" t="s">
        <v>40</v>
      </c>
      <c r="C3" s="1" t="s">
        <v>41</v>
      </c>
      <c r="D3" s="1" t="s">
        <v>42</v>
      </c>
      <c r="E3" s="1">
        <v>35.0</v>
      </c>
      <c r="F3" s="1">
        <f t="shared" si="1"/>
        <v>12.25</v>
      </c>
      <c r="G3" s="1">
        <v>2.45</v>
      </c>
      <c r="H3" s="1">
        <v>3.0</v>
      </c>
      <c r="I3" s="1">
        <f t="shared" si="2"/>
        <v>105</v>
      </c>
      <c r="J3" s="1">
        <f t="shared" si="3"/>
        <v>7.35</v>
      </c>
      <c r="K3" s="1">
        <f t="shared" si="4"/>
        <v>97.65</v>
      </c>
      <c r="L3" s="1">
        <f t="shared" si="5"/>
        <v>60.9</v>
      </c>
      <c r="M3" s="1" t="s">
        <v>43</v>
      </c>
      <c r="N3" s="1" t="s">
        <v>44</v>
      </c>
      <c r="O3" s="3" t="s">
        <v>45</v>
      </c>
      <c r="P3" s="1" t="s">
        <v>46</v>
      </c>
      <c r="Q3" s="1" t="s">
        <v>47</v>
      </c>
      <c r="R3" s="1" t="s">
        <v>48</v>
      </c>
      <c r="S3" s="1">
        <v>150.0</v>
      </c>
      <c r="T3" s="1">
        <v>5.0</v>
      </c>
      <c r="U3" s="1" t="s">
        <v>49</v>
      </c>
      <c r="V3" s="1" t="s">
        <v>50</v>
      </c>
      <c r="W3" s="1" t="s">
        <v>51</v>
      </c>
      <c r="X3" s="1" t="s">
        <v>52</v>
      </c>
      <c r="Y3" s="1">
        <v>2223333.0</v>
      </c>
      <c r="Z3" s="1" t="s">
        <v>53</v>
      </c>
      <c r="AA3" s="1">
        <v>25.0</v>
      </c>
    </row>
    <row r="4" ht="14.25" customHeight="1">
      <c r="A4" s="1">
        <v>1026.0</v>
      </c>
      <c r="B4" s="1" t="s">
        <v>54</v>
      </c>
      <c r="C4" s="1" t="s">
        <v>55</v>
      </c>
      <c r="D4" s="1" t="s">
        <v>56</v>
      </c>
      <c r="E4" s="1">
        <v>250.0</v>
      </c>
      <c r="F4" s="1">
        <f t="shared" si="1"/>
        <v>87.5</v>
      </c>
      <c r="G4" s="1">
        <v>17.5</v>
      </c>
      <c r="H4" s="1">
        <v>1.0</v>
      </c>
      <c r="I4" s="1">
        <f t="shared" si="2"/>
        <v>250</v>
      </c>
      <c r="J4" s="1">
        <f t="shared" si="3"/>
        <v>17.5</v>
      </c>
      <c r="K4" s="1">
        <f t="shared" si="4"/>
        <v>232.5</v>
      </c>
      <c r="L4" s="1">
        <f t="shared" si="5"/>
        <v>145</v>
      </c>
      <c r="M4" s="1" t="s">
        <v>57</v>
      </c>
      <c r="N4" s="1" t="s">
        <v>58</v>
      </c>
      <c r="O4" s="3" t="s">
        <v>59</v>
      </c>
      <c r="P4" s="1" t="s">
        <v>60</v>
      </c>
      <c r="Q4" s="1" t="s">
        <v>61</v>
      </c>
      <c r="R4" s="1" t="s">
        <v>62</v>
      </c>
      <c r="S4" s="1">
        <v>85.0</v>
      </c>
      <c r="T4" s="1">
        <v>1.0</v>
      </c>
      <c r="U4" s="1" t="s">
        <v>36</v>
      </c>
      <c r="V4" s="1" t="s">
        <v>63</v>
      </c>
      <c r="W4" s="1" t="s">
        <v>64</v>
      </c>
      <c r="X4" s="1">
        <v>75008.0</v>
      </c>
      <c r="Y4" s="1">
        <v>3334444.0</v>
      </c>
      <c r="Z4" s="1" t="s">
        <v>65</v>
      </c>
      <c r="AA4" s="1">
        <v>30.0</v>
      </c>
    </row>
    <row r="5" ht="14.25" customHeight="1">
      <c r="A5" s="1">
        <v>1027.0</v>
      </c>
      <c r="B5" s="1" t="s">
        <v>66</v>
      </c>
      <c r="C5" s="1" t="s">
        <v>67</v>
      </c>
      <c r="D5" s="1" t="s">
        <v>68</v>
      </c>
      <c r="E5" s="1">
        <v>15.0</v>
      </c>
      <c r="F5" s="1">
        <f t="shared" si="1"/>
        <v>5.25</v>
      </c>
      <c r="G5" s="1">
        <v>1.05</v>
      </c>
      <c r="H5" s="1">
        <v>5.0</v>
      </c>
      <c r="I5" s="1">
        <f t="shared" si="2"/>
        <v>75</v>
      </c>
      <c r="J5" s="1">
        <f t="shared" si="3"/>
        <v>5.25</v>
      </c>
      <c r="K5" s="1">
        <f t="shared" si="4"/>
        <v>69.75</v>
      </c>
      <c r="L5" s="1">
        <f t="shared" si="5"/>
        <v>43.5</v>
      </c>
      <c r="M5" s="1" t="s">
        <v>30</v>
      </c>
      <c r="N5" s="1" t="s">
        <v>69</v>
      </c>
      <c r="O5" s="3" t="s">
        <v>70</v>
      </c>
      <c r="P5" s="1" t="s">
        <v>33</v>
      </c>
      <c r="Q5" s="1" t="s">
        <v>71</v>
      </c>
      <c r="R5" s="1" t="s">
        <v>72</v>
      </c>
      <c r="S5" s="1">
        <v>190.0</v>
      </c>
      <c r="T5" s="1">
        <v>2.0</v>
      </c>
      <c r="U5" s="1" t="s">
        <v>73</v>
      </c>
      <c r="V5" s="1" t="s">
        <v>74</v>
      </c>
      <c r="W5" s="1" t="s">
        <v>75</v>
      </c>
      <c r="X5" s="1">
        <v>10178.0</v>
      </c>
      <c r="Y5" s="1">
        <v>4445555.0</v>
      </c>
      <c r="Z5" s="1" t="s">
        <v>76</v>
      </c>
      <c r="AA5" s="1">
        <v>20.0</v>
      </c>
    </row>
    <row r="6" ht="14.25" customHeight="1">
      <c r="A6" s="1">
        <v>1028.0</v>
      </c>
      <c r="B6" s="1" t="s">
        <v>77</v>
      </c>
      <c r="C6" s="1" t="s">
        <v>78</v>
      </c>
      <c r="D6" s="1" t="s">
        <v>79</v>
      </c>
      <c r="E6" s="1">
        <v>55.0</v>
      </c>
      <c r="F6" s="1">
        <f t="shared" si="1"/>
        <v>19.25</v>
      </c>
      <c r="G6" s="1">
        <v>3.85</v>
      </c>
      <c r="H6" s="1">
        <v>4.0</v>
      </c>
      <c r="I6" s="1">
        <f t="shared" si="2"/>
        <v>220</v>
      </c>
      <c r="J6" s="1">
        <f t="shared" si="3"/>
        <v>15.4</v>
      </c>
      <c r="K6" s="1">
        <f t="shared" si="4"/>
        <v>204.6</v>
      </c>
      <c r="L6" s="1">
        <f t="shared" si="5"/>
        <v>127.6</v>
      </c>
      <c r="M6" s="1" t="s">
        <v>80</v>
      </c>
      <c r="N6" s="1" t="s">
        <v>81</v>
      </c>
      <c r="O6" s="3" t="s">
        <v>82</v>
      </c>
      <c r="P6" s="1" t="s">
        <v>83</v>
      </c>
      <c r="Q6" s="1" t="s">
        <v>34</v>
      </c>
      <c r="R6" s="1" t="s">
        <v>84</v>
      </c>
      <c r="S6" s="1">
        <v>310.0</v>
      </c>
      <c r="T6" s="1">
        <v>1.0</v>
      </c>
      <c r="U6" s="1" t="s">
        <v>36</v>
      </c>
      <c r="V6" s="1" t="s">
        <v>85</v>
      </c>
      <c r="W6" s="1" t="s">
        <v>86</v>
      </c>
      <c r="X6" s="1">
        <v>28014.0</v>
      </c>
      <c r="Y6" s="1">
        <v>5556666.0</v>
      </c>
      <c r="Z6" s="1" t="s">
        <v>87</v>
      </c>
      <c r="AA6" s="1">
        <v>10.0</v>
      </c>
    </row>
    <row r="7" ht="14.25" customHeight="1">
      <c r="A7" s="1">
        <v>1029.0</v>
      </c>
      <c r="B7" s="1" t="s">
        <v>88</v>
      </c>
      <c r="C7" s="1" t="s">
        <v>89</v>
      </c>
      <c r="D7" s="1" t="s">
        <v>90</v>
      </c>
      <c r="E7" s="1">
        <v>75.0</v>
      </c>
      <c r="F7" s="1">
        <f t="shared" si="1"/>
        <v>26.25</v>
      </c>
      <c r="G7" s="1">
        <v>5.25</v>
      </c>
      <c r="H7" s="1">
        <v>2.0</v>
      </c>
      <c r="I7" s="1">
        <f t="shared" si="2"/>
        <v>150</v>
      </c>
      <c r="J7" s="1">
        <f t="shared" si="3"/>
        <v>10.5</v>
      </c>
      <c r="K7" s="1">
        <f t="shared" si="4"/>
        <v>139.5</v>
      </c>
      <c r="L7" s="1">
        <f t="shared" si="5"/>
        <v>87</v>
      </c>
      <c r="M7" s="1" t="s">
        <v>91</v>
      </c>
      <c r="N7" s="1" t="s">
        <v>92</v>
      </c>
      <c r="O7" s="3" t="s">
        <v>93</v>
      </c>
      <c r="P7" s="1" t="s">
        <v>94</v>
      </c>
      <c r="Q7" s="1" t="s">
        <v>47</v>
      </c>
      <c r="R7" s="1" t="s">
        <v>95</v>
      </c>
      <c r="S7" s="1">
        <v>210.0</v>
      </c>
      <c r="T7" s="1">
        <v>2.0</v>
      </c>
      <c r="U7" s="1" t="s">
        <v>96</v>
      </c>
      <c r="V7" s="1" t="s">
        <v>97</v>
      </c>
      <c r="W7" s="1" t="s">
        <v>98</v>
      </c>
      <c r="X7" s="1">
        <v>185.0</v>
      </c>
      <c r="Y7" s="1">
        <v>6667777.0</v>
      </c>
      <c r="Z7" s="1" t="s">
        <v>99</v>
      </c>
      <c r="AA7" s="1">
        <v>15.0</v>
      </c>
    </row>
    <row r="8" ht="14.25" customHeight="1">
      <c r="A8" s="1">
        <v>1030.0</v>
      </c>
      <c r="B8" s="1" t="s">
        <v>100</v>
      </c>
      <c r="C8" s="1" t="s">
        <v>101</v>
      </c>
      <c r="D8" s="1" t="s">
        <v>102</v>
      </c>
      <c r="E8" s="1">
        <v>50.0</v>
      </c>
      <c r="F8" s="1">
        <f t="shared" si="1"/>
        <v>17.5</v>
      </c>
      <c r="G8" s="1">
        <v>14.7</v>
      </c>
      <c r="H8" s="1">
        <v>1.0</v>
      </c>
      <c r="I8" s="1">
        <f t="shared" si="2"/>
        <v>50</v>
      </c>
      <c r="J8" s="1">
        <f t="shared" si="3"/>
        <v>14.7</v>
      </c>
      <c r="K8" s="1">
        <f t="shared" si="4"/>
        <v>35.3</v>
      </c>
      <c r="L8" s="1">
        <f t="shared" si="5"/>
        <v>17.8</v>
      </c>
      <c r="M8" s="1" t="s">
        <v>103</v>
      </c>
      <c r="N8" s="1" t="s">
        <v>104</v>
      </c>
      <c r="O8" s="3" t="s">
        <v>105</v>
      </c>
      <c r="P8" s="1" t="s">
        <v>33</v>
      </c>
      <c r="Q8" s="1" t="s">
        <v>61</v>
      </c>
      <c r="R8" s="1" t="s">
        <v>106</v>
      </c>
      <c r="S8" s="1">
        <v>255.0</v>
      </c>
      <c r="T8" s="1">
        <v>3.0</v>
      </c>
      <c r="U8" s="1" t="s">
        <v>73</v>
      </c>
      <c r="V8" s="1" t="s">
        <v>107</v>
      </c>
      <c r="W8" s="1" t="s">
        <v>108</v>
      </c>
      <c r="X8" s="1">
        <v>110001.0</v>
      </c>
      <c r="Y8" s="1">
        <v>7778888.0</v>
      </c>
      <c r="Z8" s="1" t="s">
        <v>109</v>
      </c>
      <c r="AA8" s="1">
        <v>5.0</v>
      </c>
    </row>
    <row r="9" ht="14.25" customHeight="1">
      <c r="A9" s="1">
        <v>1031.0</v>
      </c>
      <c r="B9" s="1" t="s">
        <v>110</v>
      </c>
      <c r="C9" s="1" t="s">
        <v>111</v>
      </c>
      <c r="D9" s="1" t="s">
        <v>112</v>
      </c>
      <c r="E9" s="1">
        <v>90.0</v>
      </c>
      <c r="F9" s="1">
        <f t="shared" si="1"/>
        <v>31.5</v>
      </c>
      <c r="G9" s="1">
        <v>6.3</v>
      </c>
      <c r="H9" s="1">
        <v>3.0</v>
      </c>
      <c r="I9" s="1">
        <f t="shared" si="2"/>
        <v>270</v>
      </c>
      <c r="J9" s="1">
        <f t="shared" si="3"/>
        <v>18.9</v>
      </c>
      <c r="K9" s="1">
        <f t="shared" si="4"/>
        <v>251.1</v>
      </c>
      <c r="L9" s="1">
        <f t="shared" si="5"/>
        <v>156.6</v>
      </c>
      <c r="M9" s="1" t="s">
        <v>113</v>
      </c>
      <c r="N9" s="1" t="s">
        <v>114</v>
      </c>
      <c r="O9" s="3" t="s">
        <v>32</v>
      </c>
      <c r="P9" s="1" t="s">
        <v>46</v>
      </c>
      <c r="Q9" s="1" t="s">
        <v>34</v>
      </c>
      <c r="R9" s="1" t="s">
        <v>115</v>
      </c>
      <c r="S9" s="1">
        <v>265.0</v>
      </c>
      <c r="T9" s="1">
        <v>2.0</v>
      </c>
      <c r="U9" s="1" t="s">
        <v>36</v>
      </c>
      <c r="V9" s="1" t="s">
        <v>116</v>
      </c>
      <c r="W9" s="1" t="s">
        <v>117</v>
      </c>
      <c r="X9" s="1" t="s">
        <v>118</v>
      </c>
      <c r="Y9" s="1">
        <v>8889999.0</v>
      </c>
      <c r="Z9" s="1" t="s">
        <v>119</v>
      </c>
      <c r="AA9" s="1">
        <v>20.0</v>
      </c>
    </row>
    <row r="10" ht="14.25" customHeight="1">
      <c r="A10" s="1">
        <v>1032.0</v>
      </c>
      <c r="B10" s="1" t="s">
        <v>120</v>
      </c>
      <c r="C10" s="1" t="s">
        <v>121</v>
      </c>
      <c r="D10" s="1" t="s">
        <v>122</v>
      </c>
      <c r="E10" s="1">
        <v>180.0</v>
      </c>
      <c r="F10" s="1">
        <f t="shared" si="1"/>
        <v>63</v>
      </c>
      <c r="G10" s="1">
        <v>12.6</v>
      </c>
      <c r="H10" s="1">
        <v>2.0</v>
      </c>
      <c r="I10" s="1">
        <f t="shared" si="2"/>
        <v>360</v>
      </c>
      <c r="J10" s="1">
        <f t="shared" si="3"/>
        <v>25.2</v>
      </c>
      <c r="K10" s="1">
        <f t="shared" si="4"/>
        <v>334.8</v>
      </c>
      <c r="L10" s="1">
        <f t="shared" si="5"/>
        <v>208.8</v>
      </c>
      <c r="M10" s="1" t="s">
        <v>30</v>
      </c>
      <c r="N10" s="1" t="s">
        <v>123</v>
      </c>
      <c r="O10" s="3" t="s">
        <v>124</v>
      </c>
      <c r="P10" s="1" t="s">
        <v>60</v>
      </c>
      <c r="Q10" s="1" t="s">
        <v>71</v>
      </c>
      <c r="R10" s="1" t="s">
        <v>125</v>
      </c>
      <c r="S10" s="1">
        <v>330.0</v>
      </c>
      <c r="T10" s="1">
        <v>1.0</v>
      </c>
      <c r="U10" s="1" t="s">
        <v>49</v>
      </c>
      <c r="V10" s="1" t="s">
        <v>126</v>
      </c>
      <c r="W10" s="1" t="s">
        <v>127</v>
      </c>
      <c r="X10" s="1">
        <v>2000.0</v>
      </c>
      <c r="Y10" s="1">
        <v>9990000.0</v>
      </c>
      <c r="Z10" s="1" t="s">
        <v>128</v>
      </c>
      <c r="AA10" s="1">
        <v>3.0</v>
      </c>
    </row>
    <row r="11" ht="14.25" customHeight="1">
      <c r="A11" s="1">
        <v>1033.0</v>
      </c>
      <c r="B11" s="1" t="s">
        <v>129</v>
      </c>
      <c r="C11" s="1" t="s">
        <v>130</v>
      </c>
      <c r="D11" s="1" t="s">
        <v>131</v>
      </c>
      <c r="E11" s="1">
        <v>3.0</v>
      </c>
      <c r="F11" s="1">
        <f t="shared" si="1"/>
        <v>1.05</v>
      </c>
      <c r="G11" s="1">
        <v>1.4</v>
      </c>
      <c r="H11" s="1">
        <v>6.0</v>
      </c>
      <c r="I11" s="1">
        <f t="shared" si="2"/>
        <v>18</v>
      </c>
      <c r="J11" s="1">
        <f t="shared" si="3"/>
        <v>8.4</v>
      </c>
      <c r="K11" s="1">
        <f t="shared" si="4"/>
        <v>9.6</v>
      </c>
      <c r="L11" s="1">
        <f t="shared" si="5"/>
        <v>3.3</v>
      </c>
      <c r="M11" s="1" t="s">
        <v>103</v>
      </c>
      <c r="N11" s="1" t="s">
        <v>132</v>
      </c>
      <c r="O11" s="3" t="s">
        <v>45</v>
      </c>
      <c r="P11" s="1" t="s">
        <v>133</v>
      </c>
      <c r="Q11" s="1" t="s">
        <v>34</v>
      </c>
      <c r="R11" s="1" t="s">
        <v>48</v>
      </c>
      <c r="S11" s="1">
        <v>500.0</v>
      </c>
      <c r="T11" s="1">
        <v>1.0</v>
      </c>
      <c r="U11" s="1" t="s">
        <v>96</v>
      </c>
      <c r="V11" s="1" t="s">
        <v>134</v>
      </c>
      <c r="W11" s="1" t="s">
        <v>135</v>
      </c>
      <c r="X11" s="1" t="s">
        <v>136</v>
      </c>
      <c r="Y11" s="1">
        <v>1497911.0</v>
      </c>
      <c r="Z11" s="1" t="s">
        <v>137</v>
      </c>
      <c r="AA11" s="1">
        <v>12.0</v>
      </c>
    </row>
    <row r="12" ht="14.25" customHeight="1">
      <c r="A12" s="1">
        <v>1034.0</v>
      </c>
      <c r="B12" s="1" t="s">
        <v>138</v>
      </c>
      <c r="C12" s="1" t="s">
        <v>139</v>
      </c>
      <c r="D12" s="1" t="s">
        <v>140</v>
      </c>
      <c r="E12" s="1">
        <v>300.0</v>
      </c>
      <c r="F12" s="1">
        <f t="shared" si="1"/>
        <v>105</v>
      </c>
      <c r="G12" s="1">
        <v>21.0</v>
      </c>
      <c r="H12" s="1">
        <v>1.0</v>
      </c>
      <c r="I12" s="1">
        <f t="shared" si="2"/>
        <v>300</v>
      </c>
      <c r="J12" s="1">
        <f t="shared" si="3"/>
        <v>21</v>
      </c>
      <c r="K12" s="1">
        <f t="shared" si="4"/>
        <v>279</v>
      </c>
      <c r="L12" s="1">
        <f t="shared" si="5"/>
        <v>174</v>
      </c>
      <c r="M12" s="1" t="s">
        <v>91</v>
      </c>
      <c r="N12" s="1" t="s">
        <v>141</v>
      </c>
      <c r="O12" s="3" t="s">
        <v>142</v>
      </c>
      <c r="P12" s="1" t="s">
        <v>83</v>
      </c>
      <c r="Q12" s="1" t="s">
        <v>47</v>
      </c>
      <c r="R12" s="1" t="s">
        <v>106</v>
      </c>
      <c r="S12" s="1">
        <v>220.0</v>
      </c>
      <c r="T12" s="1">
        <v>2.0</v>
      </c>
      <c r="U12" s="1" t="s">
        <v>36</v>
      </c>
      <c r="V12" s="1" t="s">
        <v>143</v>
      </c>
      <c r="W12" s="1" t="s">
        <v>144</v>
      </c>
      <c r="X12" s="1">
        <v>67890.0</v>
      </c>
      <c r="Y12" s="1">
        <v>1122334.0</v>
      </c>
      <c r="Z12" s="1" t="s">
        <v>145</v>
      </c>
      <c r="AA12" s="1">
        <v>18.0</v>
      </c>
    </row>
    <row r="13" ht="14.25" customHeight="1">
      <c r="A13" s="1">
        <v>1035.0</v>
      </c>
      <c r="B13" s="1" t="s">
        <v>146</v>
      </c>
      <c r="C13" s="1" t="s">
        <v>147</v>
      </c>
      <c r="D13" s="1" t="s">
        <v>148</v>
      </c>
      <c r="E13" s="1">
        <v>50.0</v>
      </c>
      <c r="F13" s="1">
        <f t="shared" si="1"/>
        <v>17.5</v>
      </c>
      <c r="G13" s="1">
        <v>3.5</v>
      </c>
      <c r="H13" s="1">
        <v>4.0</v>
      </c>
      <c r="I13" s="1">
        <f t="shared" si="2"/>
        <v>200</v>
      </c>
      <c r="J13" s="1">
        <f t="shared" si="3"/>
        <v>14</v>
      </c>
      <c r="K13" s="1">
        <f t="shared" si="4"/>
        <v>186</v>
      </c>
      <c r="L13" s="1">
        <f t="shared" si="5"/>
        <v>116</v>
      </c>
      <c r="M13" s="1" t="s">
        <v>43</v>
      </c>
      <c r="N13" s="1" t="s">
        <v>149</v>
      </c>
      <c r="O13" s="3" t="s">
        <v>150</v>
      </c>
      <c r="P13" s="1" t="s">
        <v>94</v>
      </c>
      <c r="Q13" s="1" t="s">
        <v>61</v>
      </c>
      <c r="R13" s="1" t="s">
        <v>84</v>
      </c>
      <c r="S13" s="1">
        <v>150.0</v>
      </c>
      <c r="T13" s="1">
        <v>4.0</v>
      </c>
      <c r="U13" s="1" t="s">
        <v>73</v>
      </c>
      <c r="V13" s="1" t="s">
        <v>151</v>
      </c>
      <c r="W13" s="1" t="s">
        <v>152</v>
      </c>
      <c r="X13" s="1">
        <v>12345.0</v>
      </c>
      <c r="Y13" s="1">
        <v>2233445.0</v>
      </c>
      <c r="Z13" s="1" t="s">
        <v>153</v>
      </c>
      <c r="AA13" s="1">
        <v>25.0</v>
      </c>
    </row>
    <row r="14" ht="14.25" customHeight="1">
      <c r="A14" s="1">
        <v>1036.0</v>
      </c>
      <c r="B14" s="1" t="s">
        <v>154</v>
      </c>
      <c r="C14" s="1" t="s">
        <v>155</v>
      </c>
      <c r="D14" s="1" t="s">
        <v>156</v>
      </c>
      <c r="E14" s="1">
        <v>60.0</v>
      </c>
      <c r="F14" s="1">
        <f t="shared" si="1"/>
        <v>21</v>
      </c>
      <c r="G14" s="1">
        <v>4.2</v>
      </c>
      <c r="H14" s="1">
        <v>5.0</v>
      </c>
      <c r="I14" s="1">
        <f t="shared" si="2"/>
        <v>300</v>
      </c>
      <c r="J14" s="1">
        <f t="shared" si="3"/>
        <v>21</v>
      </c>
      <c r="K14" s="1">
        <f t="shared" si="4"/>
        <v>279</v>
      </c>
      <c r="L14" s="1">
        <f t="shared" si="5"/>
        <v>174</v>
      </c>
      <c r="M14" s="1" t="s">
        <v>80</v>
      </c>
      <c r="N14" s="1" t="s">
        <v>157</v>
      </c>
      <c r="O14" s="3" t="s">
        <v>158</v>
      </c>
      <c r="P14" s="1" t="s">
        <v>133</v>
      </c>
      <c r="Q14" s="1" t="s">
        <v>71</v>
      </c>
      <c r="R14" s="1" t="s">
        <v>62</v>
      </c>
      <c r="S14" s="1">
        <v>90.0</v>
      </c>
      <c r="T14" s="1">
        <v>1.0</v>
      </c>
      <c r="U14" s="1" t="s">
        <v>49</v>
      </c>
      <c r="V14" s="1" t="s">
        <v>159</v>
      </c>
      <c r="W14" s="1" t="s">
        <v>160</v>
      </c>
      <c r="X14" s="1">
        <v>34567.0</v>
      </c>
      <c r="Y14" s="1">
        <v>3344556.0</v>
      </c>
      <c r="Z14" s="1" t="s">
        <v>161</v>
      </c>
      <c r="AA14" s="1">
        <v>45.0</v>
      </c>
    </row>
    <row r="15" ht="14.25" customHeight="1">
      <c r="A15" s="1">
        <v>1037.0</v>
      </c>
      <c r="B15" s="1" t="s">
        <v>162</v>
      </c>
      <c r="C15" s="1" t="s">
        <v>163</v>
      </c>
      <c r="D15" s="1" t="s">
        <v>164</v>
      </c>
      <c r="E15" s="1">
        <v>40.0</v>
      </c>
      <c r="F15" s="1">
        <f t="shared" si="1"/>
        <v>14</v>
      </c>
      <c r="G15" s="1">
        <v>2.8</v>
      </c>
      <c r="H15" s="1">
        <v>3.0</v>
      </c>
      <c r="I15" s="1">
        <f t="shared" si="2"/>
        <v>120</v>
      </c>
      <c r="J15" s="1">
        <f t="shared" si="3"/>
        <v>8.4</v>
      </c>
      <c r="K15" s="1">
        <f t="shared" si="4"/>
        <v>111.6</v>
      </c>
      <c r="L15" s="1">
        <f t="shared" si="5"/>
        <v>69.6</v>
      </c>
      <c r="M15" s="1" t="s">
        <v>165</v>
      </c>
      <c r="N15" s="1" t="s">
        <v>166</v>
      </c>
      <c r="O15" s="3" t="s">
        <v>142</v>
      </c>
      <c r="P15" s="1" t="s">
        <v>33</v>
      </c>
      <c r="Q15" s="1" t="s">
        <v>47</v>
      </c>
      <c r="R15" s="1" t="s">
        <v>48</v>
      </c>
      <c r="S15" s="1">
        <v>320.0</v>
      </c>
      <c r="T15" s="1">
        <v>5.0</v>
      </c>
      <c r="U15" s="1" t="s">
        <v>96</v>
      </c>
      <c r="V15" s="1" t="s">
        <v>167</v>
      </c>
      <c r="W15" s="1" t="s">
        <v>168</v>
      </c>
      <c r="X15" s="1">
        <v>45678.0</v>
      </c>
      <c r="Y15" s="1">
        <v>4455667.0</v>
      </c>
      <c r="Z15" s="1" t="s">
        <v>169</v>
      </c>
      <c r="AA15" s="1">
        <v>12.0</v>
      </c>
    </row>
    <row r="16" ht="14.25" customHeight="1">
      <c r="A16" s="1">
        <v>1038.0</v>
      </c>
      <c r="B16" s="1" t="s">
        <v>170</v>
      </c>
      <c r="C16" s="1" t="s">
        <v>171</v>
      </c>
      <c r="D16" s="1" t="s">
        <v>172</v>
      </c>
      <c r="E16" s="1">
        <v>45.0</v>
      </c>
      <c r="F16" s="1">
        <f t="shared" si="1"/>
        <v>15.75</v>
      </c>
      <c r="G16" s="1">
        <v>3.15</v>
      </c>
      <c r="H16" s="1">
        <v>4.0</v>
      </c>
      <c r="I16" s="1">
        <f t="shared" si="2"/>
        <v>180</v>
      </c>
      <c r="J16" s="1">
        <f t="shared" si="3"/>
        <v>12.6</v>
      </c>
      <c r="K16" s="1">
        <f t="shared" si="4"/>
        <v>167.4</v>
      </c>
      <c r="L16" s="1">
        <f t="shared" si="5"/>
        <v>104.4</v>
      </c>
      <c r="M16" s="1" t="s">
        <v>57</v>
      </c>
      <c r="N16" s="1" t="s">
        <v>173</v>
      </c>
      <c r="O16" s="3" t="s">
        <v>174</v>
      </c>
      <c r="P16" s="1" t="s">
        <v>46</v>
      </c>
      <c r="Q16" s="1" t="s">
        <v>71</v>
      </c>
      <c r="R16" s="1" t="s">
        <v>115</v>
      </c>
      <c r="S16" s="1">
        <v>185.0</v>
      </c>
      <c r="T16" s="1">
        <v>5.0</v>
      </c>
      <c r="U16" s="1" t="s">
        <v>36</v>
      </c>
      <c r="V16" s="1" t="s">
        <v>175</v>
      </c>
      <c r="W16" s="1" t="s">
        <v>176</v>
      </c>
      <c r="X16" s="1">
        <v>56789.0</v>
      </c>
      <c r="Y16" s="1">
        <v>5566778.0</v>
      </c>
      <c r="Z16" s="1" t="s">
        <v>177</v>
      </c>
      <c r="AA16" s="1">
        <v>35.0</v>
      </c>
    </row>
    <row r="17" ht="14.25" customHeight="1">
      <c r="A17" s="1">
        <v>1039.0</v>
      </c>
      <c r="B17" s="1" t="s">
        <v>178</v>
      </c>
      <c r="C17" s="1" t="s">
        <v>179</v>
      </c>
      <c r="D17" s="1" t="s">
        <v>180</v>
      </c>
      <c r="E17" s="1">
        <v>80.0</v>
      </c>
      <c r="F17" s="1">
        <f t="shared" si="1"/>
        <v>28</v>
      </c>
      <c r="G17" s="1">
        <v>5.6</v>
      </c>
      <c r="H17" s="1">
        <v>2.0</v>
      </c>
      <c r="I17" s="1">
        <f t="shared" si="2"/>
        <v>160</v>
      </c>
      <c r="J17" s="1">
        <f t="shared" si="3"/>
        <v>11.2</v>
      </c>
      <c r="K17" s="1">
        <f t="shared" si="4"/>
        <v>148.8</v>
      </c>
      <c r="L17" s="1">
        <f t="shared" si="5"/>
        <v>92.8</v>
      </c>
      <c r="M17" s="1" t="s">
        <v>80</v>
      </c>
      <c r="N17" s="1" t="s">
        <v>181</v>
      </c>
      <c r="O17" s="3" t="s">
        <v>182</v>
      </c>
      <c r="P17" s="1" t="s">
        <v>60</v>
      </c>
      <c r="Q17" s="1" t="s">
        <v>34</v>
      </c>
      <c r="R17" s="1" t="s">
        <v>35</v>
      </c>
      <c r="S17" s="1">
        <v>215.0</v>
      </c>
      <c r="T17" s="1">
        <v>1.0</v>
      </c>
      <c r="U17" s="1" t="s">
        <v>73</v>
      </c>
      <c r="V17" s="1" t="s">
        <v>183</v>
      </c>
      <c r="W17" s="1" t="s">
        <v>184</v>
      </c>
      <c r="X17" s="1">
        <v>67890.0</v>
      </c>
      <c r="Y17" s="1">
        <v>6677889.0</v>
      </c>
      <c r="Z17" s="1" t="s">
        <v>185</v>
      </c>
      <c r="AA17" s="1">
        <v>22.0</v>
      </c>
    </row>
    <row r="18" ht="14.25" customHeight="1">
      <c r="A18" s="1">
        <v>1040.0</v>
      </c>
      <c r="B18" s="1" t="s">
        <v>186</v>
      </c>
      <c r="C18" s="1" t="s">
        <v>187</v>
      </c>
      <c r="D18" s="1" t="s">
        <v>188</v>
      </c>
      <c r="E18" s="1">
        <v>200.0</v>
      </c>
      <c r="F18" s="1">
        <f t="shared" si="1"/>
        <v>70</v>
      </c>
      <c r="G18" s="1">
        <v>14.0</v>
      </c>
      <c r="H18" s="1">
        <v>1.0</v>
      </c>
      <c r="I18" s="1">
        <f t="shared" si="2"/>
        <v>200</v>
      </c>
      <c r="J18" s="1">
        <f t="shared" si="3"/>
        <v>14</v>
      </c>
      <c r="K18" s="1">
        <f t="shared" si="4"/>
        <v>186</v>
      </c>
      <c r="L18" s="1">
        <f t="shared" si="5"/>
        <v>116</v>
      </c>
      <c r="M18" s="1" t="s">
        <v>113</v>
      </c>
      <c r="N18" s="1" t="s">
        <v>189</v>
      </c>
      <c r="O18" s="3" t="s">
        <v>45</v>
      </c>
      <c r="P18" s="1" t="s">
        <v>33</v>
      </c>
      <c r="Q18" s="1" t="s">
        <v>34</v>
      </c>
      <c r="R18" s="1" t="s">
        <v>106</v>
      </c>
      <c r="S18" s="1">
        <v>240.0</v>
      </c>
      <c r="T18" s="1">
        <v>5.0</v>
      </c>
      <c r="U18" s="1" t="s">
        <v>96</v>
      </c>
      <c r="V18" s="1" t="s">
        <v>190</v>
      </c>
      <c r="W18" s="1" t="s">
        <v>191</v>
      </c>
      <c r="X18" s="1">
        <v>78901.0</v>
      </c>
      <c r="Y18" s="1">
        <v>7788990.0</v>
      </c>
      <c r="Z18" s="1" t="s">
        <v>192</v>
      </c>
      <c r="AA18" s="1">
        <v>20.0</v>
      </c>
    </row>
    <row r="19" ht="14.25" customHeight="1">
      <c r="A19" s="1">
        <v>1041.0</v>
      </c>
      <c r="B19" s="1" t="s">
        <v>193</v>
      </c>
      <c r="C19" s="1" t="s">
        <v>194</v>
      </c>
      <c r="D19" s="1" t="s">
        <v>195</v>
      </c>
      <c r="E19" s="1">
        <v>65.0</v>
      </c>
      <c r="F19" s="1">
        <f t="shared" si="1"/>
        <v>22.75</v>
      </c>
      <c r="G19" s="1">
        <v>4.55</v>
      </c>
      <c r="H19" s="1">
        <v>3.0</v>
      </c>
      <c r="I19" s="1">
        <f t="shared" si="2"/>
        <v>195</v>
      </c>
      <c r="J19" s="1">
        <f t="shared" si="3"/>
        <v>13.65</v>
      </c>
      <c r="K19" s="1">
        <f t="shared" si="4"/>
        <v>181.35</v>
      </c>
      <c r="L19" s="1">
        <f t="shared" si="5"/>
        <v>113.1</v>
      </c>
      <c r="M19" s="1" t="s">
        <v>165</v>
      </c>
      <c r="N19" s="1" t="s">
        <v>196</v>
      </c>
      <c r="O19" s="3" t="s">
        <v>197</v>
      </c>
      <c r="P19" s="1" t="s">
        <v>46</v>
      </c>
      <c r="Q19" s="1" t="s">
        <v>47</v>
      </c>
      <c r="R19" s="1" t="s">
        <v>48</v>
      </c>
      <c r="S19" s="1">
        <v>165.0</v>
      </c>
      <c r="T19" s="1">
        <v>5.0</v>
      </c>
      <c r="U19" s="1" t="s">
        <v>49</v>
      </c>
      <c r="V19" s="1" t="s">
        <v>198</v>
      </c>
      <c r="W19" s="1" t="s">
        <v>199</v>
      </c>
      <c r="X19" s="1">
        <v>89012.0</v>
      </c>
      <c r="Y19" s="1">
        <v>8899001.0</v>
      </c>
      <c r="Z19" s="1" t="s">
        <v>200</v>
      </c>
      <c r="AA19" s="1">
        <v>28.0</v>
      </c>
    </row>
    <row r="20" ht="14.25" customHeight="1">
      <c r="A20" s="1">
        <v>1042.0</v>
      </c>
      <c r="B20" s="1" t="s">
        <v>201</v>
      </c>
      <c r="C20" s="1" t="s">
        <v>202</v>
      </c>
      <c r="D20" s="1" t="s">
        <v>203</v>
      </c>
      <c r="E20" s="1">
        <v>110.0</v>
      </c>
      <c r="F20" s="1">
        <f t="shared" si="1"/>
        <v>38.5</v>
      </c>
      <c r="G20" s="1">
        <v>7.7</v>
      </c>
      <c r="H20" s="1">
        <v>2.0</v>
      </c>
      <c r="I20" s="1">
        <f t="shared" si="2"/>
        <v>220</v>
      </c>
      <c r="J20" s="1">
        <f t="shared" si="3"/>
        <v>15.4</v>
      </c>
      <c r="K20" s="1">
        <f t="shared" si="4"/>
        <v>204.6</v>
      </c>
      <c r="L20" s="1">
        <f t="shared" si="5"/>
        <v>127.6</v>
      </c>
      <c r="M20" s="1" t="s">
        <v>57</v>
      </c>
      <c r="N20" s="1" t="s">
        <v>204</v>
      </c>
      <c r="O20" s="3" t="s">
        <v>182</v>
      </c>
      <c r="P20" s="1" t="s">
        <v>60</v>
      </c>
      <c r="Q20" s="1" t="s">
        <v>61</v>
      </c>
      <c r="R20" s="1" t="s">
        <v>84</v>
      </c>
      <c r="S20" s="1">
        <v>300.0</v>
      </c>
      <c r="T20" s="1">
        <v>1.0</v>
      </c>
      <c r="U20" s="1" t="s">
        <v>96</v>
      </c>
      <c r="V20" s="1" t="s">
        <v>205</v>
      </c>
      <c r="W20" s="1" t="s">
        <v>206</v>
      </c>
      <c r="X20" s="1">
        <v>90123.0</v>
      </c>
      <c r="Y20" s="1">
        <v>9900112.0</v>
      </c>
      <c r="Z20" s="1" t="s">
        <v>207</v>
      </c>
      <c r="AA20" s="1">
        <v>10.0</v>
      </c>
    </row>
    <row r="21" ht="14.25" customHeight="1">
      <c r="A21" s="1">
        <v>1043.0</v>
      </c>
      <c r="B21" s="1" t="s">
        <v>208</v>
      </c>
      <c r="C21" s="1" t="s">
        <v>209</v>
      </c>
      <c r="D21" s="1" t="s">
        <v>210</v>
      </c>
      <c r="E21" s="1">
        <v>95.0</v>
      </c>
      <c r="F21" s="1">
        <f t="shared" si="1"/>
        <v>33.25</v>
      </c>
      <c r="G21" s="1">
        <v>6.65</v>
      </c>
      <c r="H21" s="1">
        <v>1.0</v>
      </c>
      <c r="I21" s="1">
        <f t="shared" si="2"/>
        <v>95</v>
      </c>
      <c r="J21" s="1">
        <f t="shared" si="3"/>
        <v>6.65</v>
      </c>
      <c r="K21" s="1">
        <f t="shared" si="4"/>
        <v>88.35</v>
      </c>
      <c r="L21" s="1">
        <f t="shared" si="5"/>
        <v>55.1</v>
      </c>
      <c r="M21" s="1" t="s">
        <v>57</v>
      </c>
      <c r="N21" s="1" t="s">
        <v>211</v>
      </c>
      <c r="O21" s="3" t="s">
        <v>93</v>
      </c>
      <c r="P21" s="1" t="s">
        <v>33</v>
      </c>
      <c r="Q21" s="1" t="s">
        <v>71</v>
      </c>
      <c r="R21" s="1" t="s">
        <v>72</v>
      </c>
      <c r="S21" s="1">
        <v>270.0</v>
      </c>
      <c r="T21" s="1">
        <v>2.0</v>
      </c>
      <c r="U21" s="1" t="s">
        <v>36</v>
      </c>
      <c r="V21" s="1" t="s">
        <v>212</v>
      </c>
      <c r="W21" s="1" t="s">
        <v>213</v>
      </c>
      <c r="X21" s="1">
        <v>12378.0</v>
      </c>
      <c r="Y21" s="1">
        <v>1.0121314E7</v>
      </c>
      <c r="Z21" s="1" t="s">
        <v>214</v>
      </c>
      <c r="AA21" s="1">
        <v>15.0</v>
      </c>
    </row>
    <row r="22" ht="14.25" customHeight="1">
      <c r="A22" s="1">
        <v>1044.0</v>
      </c>
      <c r="B22" s="1" t="s">
        <v>215</v>
      </c>
      <c r="C22" s="1" t="s">
        <v>216</v>
      </c>
      <c r="D22" s="1" t="s">
        <v>217</v>
      </c>
      <c r="E22" s="1">
        <v>130.0</v>
      </c>
      <c r="F22" s="1">
        <f t="shared" si="1"/>
        <v>45.5</v>
      </c>
      <c r="G22" s="1">
        <v>9.1</v>
      </c>
      <c r="H22" s="1">
        <v>3.0</v>
      </c>
      <c r="I22" s="1">
        <f t="shared" si="2"/>
        <v>390</v>
      </c>
      <c r="J22" s="1">
        <f t="shared" si="3"/>
        <v>27.3</v>
      </c>
      <c r="K22" s="1">
        <f t="shared" si="4"/>
        <v>362.7</v>
      </c>
      <c r="L22" s="1">
        <f t="shared" si="5"/>
        <v>226.2</v>
      </c>
      <c r="M22" s="1" t="s">
        <v>218</v>
      </c>
      <c r="N22" s="1" t="s">
        <v>219</v>
      </c>
      <c r="O22" s="3" t="s">
        <v>45</v>
      </c>
      <c r="P22" s="1" t="s">
        <v>83</v>
      </c>
      <c r="Q22" s="1" t="s">
        <v>34</v>
      </c>
      <c r="R22" s="1" t="s">
        <v>115</v>
      </c>
      <c r="S22" s="1">
        <v>315.0</v>
      </c>
      <c r="T22" s="1">
        <v>3.0</v>
      </c>
      <c r="U22" s="1" t="s">
        <v>49</v>
      </c>
      <c r="V22" s="1" t="s">
        <v>220</v>
      </c>
      <c r="W22" s="1" t="s">
        <v>221</v>
      </c>
      <c r="X22" s="1">
        <v>23489.0</v>
      </c>
      <c r="Y22" s="1">
        <v>1.2131415E7</v>
      </c>
      <c r="Z22" s="1" t="s">
        <v>222</v>
      </c>
      <c r="AA22" s="1">
        <v>8.0</v>
      </c>
    </row>
    <row r="23" ht="14.25" customHeight="1">
      <c r="A23" s="1">
        <v>1045.0</v>
      </c>
      <c r="B23" s="1" t="s">
        <v>223</v>
      </c>
      <c r="C23" s="1" t="s">
        <v>224</v>
      </c>
      <c r="D23" s="1" t="s">
        <v>225</v>
      </c>
      <c r="E23" s="1">
        <v>40.0</v>
      </c>
      <c r="F23" s="1">
        <f t="shared" si="1"/>
        <v>14</v>
      </c>
      <c r="G23" s="1">
        <v>2.8</v>
      </c>
      <c r="H23" s="1">
        <v>4.0</v>
      </c>
      <c r="I23" s="1">
        <f t="shared" si="2"/>
        <v>160</v>
      </c>
      <c r="J23" s="1">
        <f t="shared" si="3"/>
        <v>11.2</v>
      </c>
      <c r="K23" s="1">
        <f t="shared" si="4"/>
        <v>148.8</v>
      </c>
      <c r="L23" s="1">
        <f t="shared" si="5"/>
        <v>92.8</v>
      </c>
      <c r="M23" s="1" t="s">
        <v>43</v>
      </c>
      <c r="N23" s="1" t="s">
        <v>226</v>
      </c>
      <c r="O23" s="3" t="s">
        <v>197</v>
      </c>
      <c r="P23" s="1" t="s">
        <v>94</v>
      </c>
      <c r="Q23" s="1" t="s">
        <v>47</v>
      </c>
      <c r="R23" s="1" t="s">
        <v>106</v>
      </c>
      <c r="S23" s="1">
        <v>340.0</v>
      </c>
      <c r="T23" s="1">
        <v>2.0</v>
      </c>
      <c r="U23" s="1" t="s">
        <v>73</v>
      </c>
      <c r="V23" s="1" t="s">
        <v>227</v>
      </c>
      <c r="W23" s="1" t="s">
        <v>228</v>
      </c>
      <c r="X23" s="1">
        <v>34590.0</v>
      </c>
      <c r="Y23" s="1">
        <v>1.3141516E7</v>
      </c>
      <c r="Z23" s="1" t="s">
        <v>229</v>
      </c>
      <c r="AA23" s="1">
        <v>10.0</v>
      </c>
    </row>
    <row r="24" ht="14.25" customHeight="1">
      <c r="A24" s="1">
        <v>1046.0</v>
      </c>
      <c r="B24" s="1" t="s">
        <v>230</v>
      </c>
      <c r="C24" s="1" t="s">
        <v>231</v>
      </c>
      <c r="D24" s="1" t="s">
        <v>232</v>
      </c>
      <c r="E24" s="1">
        <v>270.0</v>
      </c>
      <c r="F24" s="1">
        <f t="shared" si="1"/>
        <v>94.5</v>
      </c>
      <c r="G24" s="1">
        <v>18.9</v>
      </c>
      <c r="H24" s="1">
        <v>1.0</v>
      </c>
      <c r="I24" s="1">
        <f t="shared" si="2"/>
        <v>270</v>
      </c>
      <c r="J24" s="1">
        <f t="shared" si="3"/>
        <v>18.9</v>
      </c>
      <c r="K24" s="1">
        <f t="shared" si="4"/>
        <v>251.1</v>
      </c>
      <c r="L24" s="1">
        <f t="shared" si="5"/>
        <v>156.6</v>
      </c>
      <c r="M24" s="1" t="s">
        <v>113</v>
      </c>
      <c r="N24" s="1" t="s">
        <v>233</v>
      </c>
      <c r="O24" s="3" t="s">
        <v>124</v>
      </c>
      <c r="P24" s="1" t="s">
        <v>33</v>
      </c>
      <c r="Q24" s="1" t="s">
        <v>61</v>
      </c>
      <c r="R24" s="1" t="s">
        <v>48</v>
      </c>
      <c r="S24" s="1">
        <v>165.0</v>
      </c>
      <c r="T24" s="1">
        <v>3.0</v>
      </c>
      <c r="U24" s="1" t="s">
        <v>96</v>
      </c>
      <c r="V24" s="1" t="s">
        <v>234</v>
      </c>
      <c r="W24" s="1" t="s">
        <v>235</v>
      </c>
      <c r="X24" s="1">
        <v>45601.0</v>
      </c>
      <c r="Y24" s="1">
        <v>1.4151617E7</v>
      </c>
      <c r="Z24" s="1" t="s">
        <v>236</v>
      </c>
      <c r="AA24" s="1">
        <v>50.0</v>
      </c>
    </row>
    <row r="25" ht="14.25" customHeight="1">
      <c r="A25" s="1">
        <v>1047.0</v>
      </c>
      <c r="B25" s="1" t="s">
        <v>237</v>
      </c>
      <c r="C25" s="1" t="s">
        <v>238</v>
      </c>
      <c r="D25" s="1" t="s">
        <v>239</v>
      </c>
      <c r="E25" s="1">
        <v>18.0</v>
      </c>
      <c r="F25" s="1">
        <f t="shared" si="1"/>
        <v>6.3</v>
      </c>
      <c r="G25" s="1">
        <v>1.26</v>
      </c>
      <c r="H25" s="1">
        <v>6.0</v>
      </c>
      <c r="I25" s="1">
        <f t="shared" si="2"/>
        <v>108</v>
      </c>
      <c r="J25" s="1">
        <f t="shared" si="3"/>
        <v>7.56</v>
      </c>
      <c r="K25" s="1">
        <f t="shared" si="4"/>
        <v>100.44</v>
      </c>
      <c r="L25" s="1">
        <f t="shared" si="5"/>
        <v>62.64</v>
      </c>
      <c r="M25" s="1" t="s">
        <v>30</v>
      </c>
      <c r="N25" s="1" t="s">
        <v>240</v>
      </c>
      <c r="O25" s="3" t="s">
        <v>82</v>
      </c>
      <c r="P25" s="1" t="s">
        <v>46</v>
      </c>
      <c r="Q25" s="1" t="s">
        <v>34</v>
      </c>
      <c r="R25" s="1" t="s">
        <v>35</v>
      </c>
      <c r="S25" s="1">
        <v>225.0</v>
      </c>
      <c r="T25" s="1">
        <v>2.0</v>
      </c>
      <c r="U25" s="1" t="s">
        <v>36</v>
      </c>
      <c r="V25" s="1" t="s">
        <v>241</v>
      </c>
      <c r="W25" s="1" t="s">
        <v>242</v>
      </c>
      <c r="X25" s="1">
        <v>56712.0</v>
      </c>
      <c r="Y25" s="1">
        <v>1.5161718E7</v>
      </c>
      <c r="Z25" s="1" t="s">
        <v>243</v>
      </c>
      <c r="AA25" s="1">
        <v>14.0</v>
      </c>
    </row>
    <row r="26" ht="14.25" customHeight="1">
      <c r="A26" s="1">
        <v>1048.0</v>
      </c>
      <c r="B26" s="1" t="s">
        <v>244</v>
      </c>
      <c r="C26" s="1" t="s">
        <v>245</v>
      </c>
      <c r="D26" s="1" t="s">
        <v>246</v>
      </c>
      <c r="E26" s="1">
        <v>58.0</v>
      </c>
      <c r="F26" s="1">
        <f t="shared" si="1"/>
        <v>20.3</v>
      </c>
      <c r="G26" s="1">
        <v>4.06</v>
      </c>
      <c r="H26" s="1">
        <v>5.0</v>
      </c>
      <c r="I26" s="1">
        <f t="shared" si="2"/>
        <v>290</v>
      </c>
      <c r="J26" s="1">
        <f t="shared" si="3"/>
        <v>20.3</v>
      </c>
      <c r="K26" s="1">
        <f t="shared" si="4"/>
        <v>269.7</v>
      </c>
      <c r="L26" s="1">
        <f t="shared" si="5"/>
        <v>168.2</v>
      </c>
      <c r="M26" s="1" t="s">
        <v>80</v>
      </c>
      <c r="N26" s="1" t="s">
        <v>247</v>
      </c>
      <c r="O26" s="3" t="s">
        <v>32</v>
      </c>
      <c r="P26" s="1" t="s">
        <v>60</v>
      </c>
      <c r="Q26" s="1" t="s">
        <v>71</v>
      </c>
      <c r="R26" s="1" t="s">
        <v>106</v>
      </c>
      <c r="S26" s="1">
        <v>310.0</v>
      </c>
      <c r="T26" s="1">
        <v>5.0</v>
      </c>
      <c r="U26" s="1" t="s">
        <v>49</v>
      </c>
      <c r="V26" s="1" t="s">
        <v>248</v>
      </c>
      <c r="W26" s="1" t="s">
        <v>249</v>
      </c>
      <c r="X26" s="1">
        <v>67823.0</v>
      </c>
      <c r="Y26" s="1">
        <v>1.718192E7</v>
      </c>
      <c r="Z26" s="1" t="s">
        <v>250</v>
      </c>
      <c r="AA26" s="1">
        <v>16.0</v>
      </c>
    </row>
    <row r="27" ht="14.25" customHeight="1">
      <c r="A27" s="1">
        <v>1049.0</v>
      </c>
      <c r="B27" s="1" t="s">
        <v>251</v>
      </c>
      <c r="C27" s="1" t="s">
        <v>252</v>
      </c>
      <c r="D27" s="1" t="s">
        <v>253</v>
      </c>
      <c r="E27" s="1">
        <v>85.0</v>
      </c>
      <c r="F27" s="1">
        <f t="shared" si="1"/>
        <v>29.75</v>
      </c>
      <c r="G27" s="1">
        <v>5.95</v>
      </c>
      <c r="H27" s="1">
        <v>2.0</v>
      </c>
      <c r="I27" s="1">
        <f t="shared" si="2"/>
        <v>170</v>
      </c>
      <c r="J27" s="1">
        <f t="shared" si="3"/>
        <v>11.9</v>
      </c>
      <c r="K27" s="1">
        <f t="shared" si="4"/>
        <v>158.1</v>
      </c>
      <c r="L27" s="1">
        <f t="shared" si="5"/>
        <v>98.6</v>
      </c>
      <c r="M27" s="1" t="s">
        <v>165</v>
      </c>
      <c r="N27" s="1" t="s">
        <v>254</v>
      </c>
      <c r="O27" s="3" t="s">
        <v>197</v>
      </c>
      <c r="P27" s="1" t="s">
        <v>133</v>
      </c>
      <c r="Q27" s="1" t="s">
        <v>34</v>
      </c>
      <c r="R27" s="1" t="s">
        <v>115</v>
      </c>
      <c r="S27" s="1">
        <v>275.0</v>
      </c>
      <c r="T27" s="1">
        <v>4.0</v>
      </c>
      <c r="U27" s="1" t="s">
        <v>73</v>
      </c>
      <c r="V27" s="1" t="s">
        <v>255</v>
      </c>
      <c r="W27" s="1" t="s">
        <v>256</v>
      </c>
      <c r="X27" s="1">
        <v>78934.0</v>
      </c>
      <c r="Y27" s="1">
        <v>1.9202122E7</v>
      </c>
      <c r="Z27" s="1" t="s">
        <v>257</v>
      </c>
      <c r="AA27" s="1">
        <v>20.0</v>
      </c>
    </row>
    <row r="28" ht="14.25" customHeight="1">
      <c r="A28" s="1">
        <v>1050.0</v>
      </c>
      <c r="B28" s="1" t="s">
        <v>258</v>
      </c>
      <c r="C28" s="1" t="s">
        <v>259</v>
      </c>
      <c r="D28" s="1" t="s">
        <v>260</v>
      </c>
      <c r="E28" s="1">
        <v>220.0</v>
      </c>
      <c r="F28" s="1">
        <f t="shared" si="1"/>
        <v>77</v>
      </c>
      <c r="G28" s="1">
        <v>15.4</v>
      </c>
      <c r="H28" s="1">
        <v>1.0</v>
      </c>
      <c r="I28" s="1">
        <f t="shared" si="2"/>
        <v>220</v>
      </c>
      <c r="J28" s="1">
        <f t="shared" si="3"/>
        <v>15.4</v>
      </c>
      <c r="K28" s="1">
        <f t="shared" si="4"/>
        <v>204.6</v>
      </c>
      <c r="L28" s="1">
        <f t="shared" si="5"/>
        <v>127.6</v>
      </c>
      <c r="M28" s="1" t="s">
        <v>261</v>
      </c>
      <c r="N28" s="1" t="s">
        <v>262</v>
      </c>
      <c r="O28" s="3" t="s">
        <v>59</v>
      </c>
      <c r="P28" s="1" t="s">
        <v>83</v>
      </c>
      <c r="Q28" s="1" t="s">
        <v>47</v>
      </c>
      <c r="R28" s="1" t="s">
        <v>48</v>
      </c>
      <c r="S28" s="1">
        <v>190.0</v>
      </c>
      <c r="T28" s="1">
        <v>2.0</v>
      </c>
      <c r="U28" s="1" t="s">
        <v>36</v>
      </c>
      <c r="V28" s="1" t="s">
        <v>263</v>
      </c>
      <c r="W28" s="1" t="s">
        <v>264</v>
      </c>
      <c r="X28" s="1">
        <v>89045.0</v>
      </c>
      <c r="Y28" s="1">
        <v>2.1222324E7</v>
      </c>
      <c r="Z28" s="1" t="s">
        <v>265</v>
      </c>
      <c r="AA28" s="1">
        <v>28.0</v>
      </c>
    </row>
    <row r="29" ht="14.25" customHeight="1">
      <c r="A29" s="1">
        <v>1052.0</v>
      </c>
      <c r="B29" s="1" t="s">
        <v>266</v>
      </c>
      <c r="C29" s="1" t="s">
        <v>267</v>
      </c>
      <c r="D29" s="1" t="s">
        <v>268</v>
      </c>
      <c r="E29" s="1">
        <v>100.0</v>
      </c>
      <c r="F29" s="1">
        <f t="shared" si="1"/>
        <v>35</v>
      </c>
      <c r="G29" s="1">
        <v>7.0</v>
      </c>
      <c r="H29" s="1">
        <v>3.0</v>
      </c>
      <c r="I29" s="1">
        <f t="shared" si="2"/>
        <v>300</v>
      </c>
      <c r="J29" s="1">
        <f t="shared" si="3"/>
        <v>21</v>
      </c>
      <c r="K29" s="1">
        <f t="shared" si="4"/>
        <v>279</v>
      </c>
      <c r="L29" s="1">
        <f t="shared" si="5"/>
        <v>174</v>
      </c>
      <c r="M29" s="1" t="s">
        <v>57</v>
      </c>
      <c r="N29" s="1" t="s">
        <v>269</v>
      </c>
      <c r="O29" s="3" t="s">
        <v>105</v>
      </c>
      <c r="P29" s="1" t="s">
        <v>94</v>
      </c>
      <c r="Q29" s="1" t="s">
        <v>61</v>
      </c>
      <c r="R29" s="1" t="s">
        <v>106</v>
      </c>
      <c r="S29" s="1">
        <v>255.0</v>
      </c>
      <c r="T29" s="1">
        <v>3.0</v>
      </c>
      <c r="U29" s="1" t="s">
        <v>96</v>
      </c>
      <c r="V29" s="1" t="s">
        <v>270</v>
      </c>
      <c r="W29" s="1" t="s">
        <v>271</v>
      </c>
      <c r="X29" s="1">
        <v>91267.0</v>
      </c>
      <c r="Y29" s="1">
        <v>2.5262728E7</v>
      </c>
      <c r="Z29" s="1" t="s">
        <v>272</v>
      </c>
      <c r="AA29" s="1">
        <v>22.0</v>
      </c>
    </row>
    <row r="30" ht="14.25" customHeight="1">
      <c r="A30" s="1">
        <v>1053.0</v>
      </c>
      <c r="B30" s="1" t="s">
        <v>273</v>
      </c>
      <c r="C30" s="1" t="s">
        <v>274</v>
      </c>
      <c r="D30" s="1" t="s">
        <v>275</v>
      </c>
      <c r="E30" s="1">
        <v>195.0</v>
      </c>
      <c r="F30" s="1">
        <f t="shared" si="1"/>
        <v>68.25</v>
      </c>
      <c r="G30" s="1">
        <v>13.65</v>
      </c>
      <c r="H30" s="1">
        <v>2.0</v>
      </c>
      <c r="I30" s="1">
        <f t="shared" si="2"/>
        <v>390</v>
      </c>
      <c r="J30" s="1">
        <f t="shared" si="3"/>
        <v>27.3</v>
      </c>
      <c r="K30" s="1">
        <f t="shared" si="4"/>
        <v>362.7</v>
      </c>
      <c r="L30" s="1">
        <f t="shared" si="5"/>
        <v>226.2</v>
      </c>
      <c r="M30" s="1" t="s">
        <v>276</v>
      </c>
      <c r="N30" s="1" t="s">
        <v>277</v>
      </c>
      <c r="O30" s="3" t="s">
        <v>278</v>
      </c>
      <c r="P30" s="1" t="s">
        <v>133</v>
      </c>
      <c r="Q30" s="1" t="s">
        <v>71</v>
      </c>
      <c r="R30" s="1" t="s">
        <v>48</v>
      </c>
      <c r="S30" s="1">
        <v>205.0</v>
      </c>
      <c r="T30" s="1">
        <v>1.0</v>
      </c>
      <c r="U30" s="1" t="s">
        <v>49</v>
      </c>
      <c r="V30" s="1" t="s">
        <v>279</v>
      </c>
      <c r="W30" s="1" t="s">
        <v>280</v>
      </c>
      <c r="X30" s="1">
        <v>10278.0</v>
      </c>
      <c r="Y30" s="1">
        <v>2.728293E7</v>
      </c>
      <c r="Z30" s="1" t="s">
        <v>281</v>
      </c>
      <c r="AA30" s="1">
        <v>15.0</v>
      </c>
    </row>
    <row r="31" ht="14.25" customHeight="1">
      <c r="A31" s="1">
        <v>1054.0</v>
      </c>
      <c r="B31" s="1" t="s">
        <v>282</v>
      </c>
      <c r="C31" s="1" t="s">
        <v>283</v>
      </c>
      <c r="D31" s="1" t="s">
        <v>284</v>
      </c>
      <c r="E31" s="1">
        <v>24.0</v>
      </c>
      <c r="F31" s="1">
        <f t="shared" si="1"/>
        <v>8.4</v>
      </c>
      <c r="G31" s="1">
        <v>1.68</v>
      </c>
      <c r="H31" s="1">
        <v>5.0</v>
      </c>
      <c r="I31" s="1">
        <f t="shared" si="2"/>
        <v>120</v>
      </c>
      <c r="J31" s="1">
        <f t="shared" si="3"/>
        <v>8.4</v>
      </c>
      <c r="K31" s="1">
        <f t="shared" si="4"/>
        <v>111.6</v>
      </c>
      <c r="L31" s="1">
        <f t="shared" si="5"/>
        <v>69.6</v>
      </c>
      <c r="M31" s="1" t="s">
        <v>30</v>
      </c>
      <c r="N31" s="1" t="s">
        <v>285</v>
      </c>
      <c r="O31" s="3" t="s">
        <v>286</v>
      </c>
      <c r="P31" s="1" t="s">
        <v>33</v>
      </c>
      <c r="Q31" s="1" t="s">
        <v>47</v>
      </c>
      <c r="R31" s="1" t="s">
        <v>115</v>
      </c>
      <c r="S31" s="1">
        <v>320.0</v>
      </c>
      <c r="T31" s="1">
        <v>4.0</v>
      </c>
      <c r="U31" s="1" t="s">
        <v>73</v>
      </c>
      <c r="V31" s="1" t="s">
        <v>287</v>
      </c>
      <c r="W31" s="1" t="s">
        <v>288</v>
      </c>
      <c r="X31" s="1">
        <v>21389.0</v>
      </c>
      <c r="Y31" s="1">
        <v>2.9303132E7</v>
      </c>
      <c r="Z31" s="1" t="s">
        <v>289</v>
      </c>
      <c r="AA31" s="1">
        <v>12.0</v>
      </c>
    </row>
    <row r="32" ht="14.25" customHeight="1">
      <c r="A32" s="1">
        <v>1055.0</v>
      </c>
      <c r="B32" s="1" t="s">
        <v>290</v>
      </c>
      <c r="C32" s="1" t="s">
        <v>291</v>
      </c>
      <c r="D32" s="1" t="s">
        <v>292</v>
      </c>
      <c r="E32" s="1">
        <v>310.0</v>
      </c>
      <c r="F32" s="1">
        <f t="shared" si="1"/>
        <v>108.5</v>
      </c>
      <c r="G32" s="1">
        <v>21.7</v>
      </c>
      <c r="H32" s="1">
        <v>1.0</v>
      </c>
      <c r="I32" s="1">
        <f t="shared" si="2"/>
        <v>310</v>
      </c>
      <c r="J32" s="1">
        <f t="shared" si="3"/>
        <v>21.7</v>
      </c>
      <c r="K32" s="1">
        <f t="shared" si="4"/>
        <v>288.3</v>
      </c>
      <c r="L32" s="1">
        <f t="shared" si="5"/>
        <v>179.8</v>
      </c>
      <c r="M32" s="1" t="s">
        <v>165</v>
      </c>
      <c r="N32" s="1" t="s">
        <v>293</v>
      </c>
      <c r="O32" s="3" t="s">
        <v>294</v>
      </c>
      <c r="P32" s="1" t="s">
        <v>46</v>
      </c>
      <c r="Q32" s="1" t="s">
        <v>71</v>
      </c>
      <c r="R32" s="1" t="s">
        <v>84</v>
      </c>
      <c r="S32" s="1">
        <v>375.0</v>
      </c>
      <c r="T32" s="1">
        <v>5.0</v>
      </c>
      <c r="U32" s="1" t="s">
        <v>36</v>
      </c>
      <c r="V32" s="1" t="s">
        <v>295</v>
      </c>
      <c r="W32" s="1" t="s">
        <v>296</v>
      </c>
      <c r="X32" s="1">
        <v>32490.0</v>
      </c>
      <c r="Y32" s="1">
        <v>3.1323334E7</v>
      </c>
      <c r="Z32" s="1" t="s">
        <v>297</v>
      </c>
      <c r="AA32" s="1">
        <v>18.0</v>
      </c>
    </row>
    <row r="33" ht="14.25" customHeight="1">
      <c r="A33" s="1">
        <v>1056.0</v>
      </c>
      <c r="B33" s="1" t="s">
        <v>298</v>
      </c>
      <c r="C33" s="1" t="s">
        <v>299</v>
      </c>
      <c r="D33" s="1" t="s">
        <v>300</v>
      </c>
      <c r="E33" s="1">
        <v>52.0</v>
      </c>
      <c r="F33" s="1">
        <f t="shared" si="1"/>
        <v>18.2</v>
      </c>
      <c r="G33" s="1">
        <v>3.64</v>
      </c>
      <c r="H33" s="1">
        <v>4.0</v>
      </c>
      <c r="I33" s="1">
        <f t="shared" si="2"/>
        <v>208</v>
      </c>
      <c r="J33" s="1">
        <f t="shared" si="3"/>
        <v>14.56</v>
      </c>
      <c r="K33" s="1">
        <f t="shared" si="4"/>
        <v>193.44</v>
      </c>
      <c r="L33" s="1">
        <f t="shared" si="5"/>
        <v>120.64</v>
      </c>
      <c r="M33" s="1" t="s">
        <v>80</v>
      </c>
      <c r="N33" s="1" t="s">
        <v>301</v>
      </c>
      <c r="O33" s="3" t="s">
        <v>197</v>
      </c>
      <c r="P33" s="1" t="s">
        <v>60</v>
      </c>
      <c r="Q33" s="1" t="s">
        <v>34</v>
      </c>
      <c r="R33" s="1" t="s">
        <v>106</v>
      </c>
      <c r="S33" s="1">
        <v>295.0</v>
      </c>
      <c r="T33" s="1">
        <v>4.0</v>
      </c>
      <c r="U33" s="1" t="s">
        <v>49</v>
      </c>
      <c r="V33" s="1" t="s">
        <v>302</v>
      </c>
      <c r="W33" s="1" t="s">
        <v>303</v>
      </c>
      <c r="X33" s="1">
        <v>43501.0</v>
      </c>
      <c r="Y33" s="1">
        <v>3.3343536E7</v>
      </c>
      <c r="Z33" s="1" t="s">
        <v>304</v>
      </c>
      <c r="AA33" s="1">
        <v>10.0</v>
      </c>
    </row>
    <row r="34" ht="14.25" customHeight="1">
      <c r="A34" s="1">
        <v>1057.0</v>
      </c>
      <c r="B34" s="1" t="s">
        <v>305</v>
      </c>
      <c r="C34" s="1" t="s">
        <v>306</v>
      </c>
      <c r="D34" s="1" t="s">
        <v>307</v>
      </c>
      <c r="E34" s="1">
        <v>62.0</v>
      </c>
      <c r="F34" s="1">
        <f t="shared" si="1"/>
        <v>21.7</v>
      </c>
      <c r="G34" s="1">
        <v>4.34</v>
      </c>
      <c r="H34" s="1">
        <v>5.0</v>
      </c>
      <c r="I34" s="1">
        <f t="shared" si="2"/>
        <v>310</v>
      </c>
      <c r="J34" s="1">
        <f t="shared" si="3"/>
        <v>21.7</v>
      </c>
      <c r="K34" s="1">
        <f t="shared" si="4"/>
        <v>288.3</v>
      </c>
      <c r="L34" s="1">
        <f t="shared" si="5"/>
        <v>179.8</v>
      </c>
      <c r="M34" s="1" t="s">
        <v>30</v>
      </c>
      <c r="N34" s="1" t="s">
        <v>308</v>
      </c>
      <c r="O34" s="3" t="s">
        <v>309</v>
      </c>
      <c r="P34" s="1" t="s">
        <v>83</v>
      </c>
      <c r="Q34" s="1" t="s">
        <v>61</v>
      </c>
      <c r="R34" s="1" t="s">
        <v>115</v>
      </c>
      <c r="S34" s="1">
        <v>310.0</v>
      </c>
      <c r="T34" s="1">
        <v>3.0</v>
      </c>
      <c r="U34" s="1" t="s">
        <v>36</v>
      </c>
      <c r="V34" s="1" t="s">
        <v>310</v>
      </c>
      <c r="W34" s="1" t="s">
        <v>311</v>
      </c>
      <c r="X34" s="1">
        <v>54612.0</v>
      </c>
      <c r="Y34" s="1">
        <v>3.5363738E7</v>
      </c>
      <c r="Z34" s="1" t="s">
        <v>312</v>
      </c>
      <c r="AA34" s="1">
        <v>26.0</v>
      </c>
    </row>
    <row r="35" ht="14.25" customHeight="1">
      <c r="A35" s="1">
        <v>1058.0</v>
      </c>
      <c r="B35" s="1" t="s">
        <v>313</v>
      </c>
      <c r="C35" s="1" t="s">
        <v>314</v>
      </c>
      <c r="D35" s="1" t="s">
        <v>315</v>
      </c>
      <c r="E35" s="1">
        <v>44.0</v>
      </c>
      <c r="F35" s="1">
        <f t="shared" si="1"/>
        <v>15.4</v>
      </c>
      <c r="G35" s="1">
        <v>3.08</v>
      </c>
      <c r="H35" s="1">
        <v>3.0</v>
      </c>
      <c r="I35" s="1">
        <f t="shared" si="2"/>
        <v>132</v>
      </c>
      <c r="J35" s="1">
        <f t="shared" si="3"/>
        <v>9.24</v>
      </c>
      <c r="K35" s="1">
        <f t="shared" si="4"/>
        <v>122.76</v>
      </c>
      <c r="L35" s="1">
        <f t="shared" si="5"/>
        <v>76.56</v>
      </c>
      <c r="M35" s="1" t="s">
        <v>165</v>
      </c>
      <c r="N35" s="1" t="s">
        <v>316</v>
      </c>
      <c r="O35" s="3" t="s">
        <v>124</v>
      </c>
      <c r="P35" s="1" t="s">
        <v>94</v>
      </c>
      <c r="Q35" s="1" t="s">
        <v>34</v>
      </c>
      <c r="R35" s="1" t="s">
        <v>84</v>
      </c>
      <c r="S35" s="1">
        <v>210.0</v>
      </c>
      <c r="T35" s="1">
        <v>3.0</v>
      </c>
      <c r="U35" s="1" t="s">
        <v>73</v>
      </c>
      <c r="V35" s="1" t="s">
        <v>317</v>
      </c>
      <c r="W35" s="1" t="s">
        <v>318</v>
      </c>
      <c r="X35" s="1">
        <v>65723.0</v>
      </c>
      <c r="Y35" s="1">
        <v>3.738394E7</v>
      </c>
      <c r="Z35" s="1" t="s">
        <v>319</v>
      </c>
      <c r="AA35" s="1">
        <v>50.0</v>
      </c>
    </row>
    <row r="36" ht="14.25" customHeight="1">
      <c r="A36" s="1">
        <v>1059.0</v>
      </c>
      <c r="B36" s="1" t="s">
        <v>320</v>
      </c>
      <c r="C36" s="1" t="s">
        <v>321</v>
      </c>
      <c r="D36" s="1" t="s">
        <v>322</v>
      </c>
      <c r="E36" s="1">
        <v>48.0</v>
      </c>
      <c r="F36" s="1">
        <f t="shared" si="1"/>
        <v>16.8</v>
      </c>
      <c r="G36" s="1">
        <v>3.36</v>
      </c>
      <c r="H36" s="1">
        <v>4.0</v>
      </c>
      <c r="I36" s="1">
        <f t="shared" si="2"/>
        <v>192</v>
      </c>
      <c r="J36" s="1">
        <f t="shared" si="3"/>
        <v>13.44</v>
      </c>
      <c r="K36" s="1">
        <f t="shared" si="4"/>
        <v>178.56</v>
      </c>
      <c r="L36" s="1">
        <f t="shared" si="5"/>
        <v>111.36</v>
      </c>
      <c r="M36" s="1" t="s">
        <v>43</v>
      </c>
      <c r="N36" s="1" t="s">
        <v>323</v>
      </c>
      <c r="O36" s="3" t="s">
        <v>324</v>
      </c>
      <c r="P36" s="1" t="s">
        <v>133</v>
      </c>
      <c r="Q36" s="1" t="s">
        <v>47</v>
      </c>
      <c r="R36" s="1" t="s">
        <v>48</v>
      </c>
      <c r="S36" s="1">
        <v>170.0</v>
      </c>
      <c r="T36" s="1">
        <v>2.0</v>
      </c>
      <c r="U36" s="1" t="s">
        <v>36</v>
      </c>
      <c r="V36" s="1" t="s">
        <v>325</v>
      </c>
      <c r="W36" s="1" t="s">
        <v>326</v>
      </c>
      <c r="X36" s="1">
        <v>76834.0</v>
      </c>
      <c r="Y36" s="1">
        <v>3.9404142E7</v>
      </c>
      <c r="Z36" s="1" t="s">
        <v>327</v>
      </c>
      <c r="AA36" s="1">
        <v>45.0</v>
      </c>
    </row>
    <row r="37" ht="14.25" customHeight="1">
      <c r="A37" s="1">
        <v>1060.0</v>
      </c>
      <c r="B37" s="1" t="s">
        <v>328</v>
      </c>
      <c r="C37" s="1" t="s">
        <v>329</v>
      </c>
      <c r="D37" s="1" t="s">
        <v>330</v>
      </c>
      <c r="E37" s="1">
        <v>88.0</v>
      </c>
      <c r="F37" s="1">
        <f t="shared" si="1"/>
        <v>30.8</v>
      </c>
      <c r="G37" s="1">
        <v>6.16</v>
      </c>
      <c r="H37" s="1">
        <v>2.0</v>
      </c>
      <c r="I37" s="1">
        <f t="shared" si="2"/>
        <v>176</v>
      </c>
      <c r="J37" s="1">
        <f t="shared" si="3"/>
        <v>12.32</v>
      </c>
      <c r="K37" s="1">
        <f t="shared" si="4"/>
        <v>163.68</v>
      </c>
      <c r="L37" s="1">
        <f t="shared" si="5"/>
        <v>102.08</v>
      </c>
      <c r="M37" s="1" t="s">
        <v>276</v>
      </c>
      <c r="N37" s="1" t="s">
        <v>331</v>
      </c>
      <c r="O37" s="3" t="s">
        <v>332</v>
      </c>
      <c r="P37" s="1" t="s">
        <v>33</v>
      </c>
      <c r="Q37" s="1" t="s">
        <v>71</v>
      </c>
      <c r="R37" s="1" t="s">
        <v>115</v>
      </c>
      <c r="S37" s="1">
        <v>265.0</v>
      </c>
      <c r="T37" s="1">
        <v>3.0</v>
      </c>
      <c r="U37" s="1" t="s">
        <v>96</v>
      </c>
      <c r="V37" s="1" t="s">
        <v>333</v>
      </c>
      <c r="W37" s="1" t="s">
        <v>334</v>
      </c>
      <c r="X37" s="1">
        <v>87945.0</v>
      </c>
      <c r="Y37" s="1">
        <v>4.1424344E7</v>
      </c>
      <c r="Z37" s="1" t="s">
        <v>335</v>
      </c>
      <c r="AA37" s="1">
        <v>18.0</v>
      </c>
    </row>
    <row r="38" ht="14.25" customHeight="1">
      <c r="A38" s="1">
        <v>1061.0</v>
      </c>
      <c r="B38" s="1" t="s">
        <v>336</v>
      </c>
      <c r="C38" s="1" t="s">
        <v>337</v>
      </c>
      <c r="D38" s="1" t="s">
        <v>338</v>
      </c>
      <c r="E38" s="1">
        <v>210.0</v>
      </c>
      <c r="F38" s="1">
        <f t="shared" si="1"/>
        <v>73.5</v>
      </c>
      <c r="G38" s="1">
        <v>14.7</v>
      </c>
      <c r="H38" s="1">
        <v>1.0</v>
      </c>
      <c r="I38" s="1">
        <f t="shared" si="2"/>
        <v>210</v>
      </c>
      <c r="J38" s="1">
        <f t="shared" si="3"/>
        <v>14.7</v>
      </c>
      <c r="K38" s="1">
        <f t="shared" si="4"/>
        <v>195.3</v>
      </c>
      <c r="L38" s="1">
        <f t="shared" si="5"/>
        <v>121.8</v>
      </c>
      <c r="M38" s="1" t="s">
        <v>57</v>
      </c>
      <c r="N38" s="1" t="s">
        <v>339</v>
      </c>
      <c r="O38" s="3" t="s">
        <v>45</v>
      </c>
      <c r="P38" s="1" t="s">
        <v>60</v>
      </c>
      <c r="Q38" s="1" t="s">
        <v>47</v>
      </c>
      <c r="R38" s="1" t="s">
        <v>35</v>
      </c>
      <c r="S38" s="1">
        <v>220.0</v>
      </c>
      <c r="T38" s="1">
        <v>1.0</v>
      </c>
      <c r="U38" s="1" t="s">
        <v>73</v>
      </c>
      <c r="V38" s="1" t="s">
        <v>340</v>
      </c>
      <c r="W38" s="1" t="s">
        <v>341</v>
      </c>
      <c r="X38" s="1">
        <v>89016.0</v>
      </c>
      <c r="Y38" s="1">
        <v>4.3454748E7</v>
      </c>
      <c r="Z38" s="1" t="s">
        <v>342</v>
      </c>
      <c r="AA38" s="1">
        <v>30.0</v>
      </c>
    </row>
    <row r="39" ht="14.25" customHeight="1">
      <c r="A39" s="1">
        <v>1062.0</v>
      </c>
      <c r="B39" s="1" t="s">
        <v>343</v>
      </c>
      <c r="C39" s="1" t="s">
        <v>344</v>
      </c>
      <c r="D39" s="1" t="s">
        <v>345</v>
      </c>
      <c r="E39" s="1">
        <v>70.0</v>
      </c>
      <c r="F39" s="1">
        <f t="shared" si="1"/>
        <v>24.5</v>
      </c>
      <c r="G39" s="1">
        <v>4.9</v>
      </c>
      <c r="H39" s="1">
        <v>3.0</v>
      </c>
      <c r="I39" s="1">
        <f t="shared" si="2"/>
        <v>210</v>
      </c>
      <c r="J39" s="1">
        <f t="shared" si="3"/>
        <v>14.7</v>
      </c>
      <c r="K39" s="1">
        <f t="shared" si="4"/>
        <v>195.3</v>
      </c>
      <c r="L39" s="1">
        <f t="shared" si="5"/>
        <v>121.8</v>
      </c>
      <c r="M39" s="1" t="s">
        <v>346</v>
      </c>
      <c r="N39" s="1" t="s">
        <v>347</v>
      </c>
      <c r="O39" s="3" t="s">
        <v>124</v>
      </c>
      <c r="P39" s="1" t="s">
        <v>83</v>
      </c>
      <c r="Q39" s="1" t="s">
        <v>34</v>
      </c>
      <c r="R39" s="1" t="s">
        <v>84</v>
      </c>
      <c r="S39" s="1">
        <v>390.0</v>
      </c>
      <c r="T39" s="1">
        <v>4.0</v>
      </c>
      <c r="U39" s="1" t="s">
        <v>36</v>
      </c>
      <c r="V39" s="1" t="s">
        <v>348</v>
      </c>
      <c r="W39" s="1" t="s">
        <v>349</v>
      </c>
      <c r="X39" s="1">
        <v>90127.0</v>
      </c>
      <c r="Y39" s="1">
        <v>4.9505152E7</v>
      </c>
      <c r="Z39" s="1" t="s">
        <v>350</v>
      </c>
      <c r="AA39" s="1">
        <v>8.0</v>
      </c>
    </row>
    <row r="40" ht="14.25" customHeight="1">
      <c r="A40" s="1">
        <v>1063.0</v>
      </c>
      <c r="B40" s="1" t="s">
        <v>351</v>
      </c>
      <c r="C40" s="1" t="s">
        <v>352</v>
      </c>
      <c r="D40" s="1" t="s">
        <v>353</v>
      </c>
      <c r="E40" s="1">
        <v>120.0</v>
      </c>
      <c r="F40" s="1">
        <f t="shared" si="1"/>
        <v>42</v>
      </c>
      <c r="G40" s="1">
        <v>8.4</v>
      </c>
      <c r="H40" s="1">
        <v>2.0</v>
      </c>
      <c r="I40" s="1">
        <f t="shared" si="2"/>
        <v>240</v>
      </c>
      <c r="J40" s="1">
        <f t="shared" si="3"/>
        <v>16.8</v>
      </c>
      <c r="K40" s="1">
        <f t="shared" si="4"/>
        <v>223.2</v>
      </c>
      <c r="L40" s="1">
        <f t="shared" si="5"/>
        <v>139.2</v>
      </c>
      <c r="M40" s="1" t="s">
        <v>165</v>
      </c>
      <c r="N40" s="1" t="s">
        <v>354</v>
      </c>
      <c r="O40" s="3" t="s">
        <v>32</v>
      </c>
      <c r="P40" s="1" t="s">
        <v>46</v>
      </c>
      <c r="Q40" s="1" t="s">
        <v>61</v>
      </c>
      <c r="R40" s="1" t="s">
        <v>106</v>
      </c>
      <c r="S40" s="1">
        <v>310.0</v>
      </c>
      <c r="T40" s="1">
        <v>1.0</v>
      </c>
      <c r="U40" s="1" t="s">
        <v>49</v>
      </c>
      <c r="V40" s="1" t="s">
        <v>355</v>
      </c>
      <c r="W40" s="1" t="s">
        <v>356</v>
      </c>
      <c r="X40" s="1">
        <v>91238.0</v>
      </c>
      <c r="Y40" s="1">
        <v>5.1535754E7</v>
      </c>
      <c r="Z40" s="1" t="s">
        <v>357</v>
      </c>
      <c r="AA40" s="1">
        <v>15.0</v>
      </c>
    </row>
    <row r="41" ht="14.25" customHeight="1">
      <c r="A41" s="1">
        <v>1064.0</v>
      </c>
      <c r="B41" s="1" t="s">
        <v>358</v>
      </c>
      <c r="C41" s="1" t="s">
        <v>359</v>
      </c>
      <c r="D41" s="1" t="s">
        <v>360</v>
      </c>
      <c r="E41" s="1">
        <v>105.0</v>
      </c>
      <c r="F41" s="1">
        <f t="shared" si="1"/>
        <v>36.75</v>
      </c>
      <c r="G41" s="1">
        <v>7.35</v>
      </c>
      <c r="H41" s="1">
        <v>1.0</v>
      </c>
      <c r="I41" s="1">
        <f t="shared" si="2"/>
        <v>105</v>
      </c>
      <c r="J41" s="1">
        <f t="shared" si="3"/>
        <v>7.35</v>
      </c>
      <c r="K41" s="1">
        <f t="shared" si="4"/>
        <v>97.65</v>
      </c>
      <c r="L41" s="1">
        <f t="shared" si="5"/>
        <v>60.9</v>
      </c>
      <c r="M41" s="1" t="s">
        <v>361</v>
      </c>
      <c r="N41" s="1" t="s">
        <v>362</v>
      </c>
      <c r="O41" s="3" t="s">
        <v>105</v>
      </c>
      <c r="P41" s="1" t="s">
        <v>133</v>
      </c>
      <c r="Q41" s="1" t="s">
        <v>34</v>
      </c>
      <c r="R41" s="1" t="s">
        <v>48</v>
      </c>
      <c r="S41" s="1">
        <v>215.0</v>
      </c>
      <c r="T41" s="1">
        <v>5.0</v>
      </c>
      <c r="U41" s="1" t="s">
        <v>96</v>
      </c>
      <c r="V41" s="1" t="s">
        <v>363</v>
      </c>
      <c r="W41" s="1" t="s">
        <v>364</v>
      </c>
      <c r="X41" s="1">
        <v>92349.0</v>
      </c>
      <c r="Y41" s="1">
        <v>5.7596162E7</v>
      </c>
      <c r="Z41" s="1" t="s">
        <v>365</v>
      </c>
      <c r="AA41" s="1">
        <v>20.0</v>
      </c>
    </row>
    <row r="42" ht="14.25" customHeight="1">
      <c r="A42" s="1">
        <v>1065.0</v>
      </c>
      <c r="B42" s="1" t="s">
        <v>366</v>
      </c>
      <c r="C42" s="1" t="s">
        <v>367</v>
      </c>
      <c r="D42" s="1" t="s">
        <v>368</v>
      </c>
      <c r="E42" s="1">
        <v>115.0</v>
      </c>
      <c r="F42" s="1">
        <f t="shared" si="1"/>
        <v>40.25</v>
      </c>
      <c r="G42" s="1">
        <v>8.05</v>
      </c>
      <c r="H42" s="1">
        <v>2.0</v>
      </c>
      <c r="I42" s="1">
        <f t="shared" si="2"/>
        <v>230</v>
      </c>
      <c r="J42" s="1">
        <f t="shared" si="3"/>
        <v>16.1</v>
      </c>
      <c r="K42" s="1">
        <f t="shared" si="4"/>
        <v>213.9</v>
      </c>
      <c r="L42" s="1">
        <f t="shared" si="5"/>
        <v>133.4</v>
      </c>
      <c r="M42" s="1" t="s">
        <v>80</v>
      </c>
      <c r="N42" s="1" t="s">
        <v>369</v>
      </c>
      <c r="O42" s="3" t="s">
        <v>142</v>
      </c>
      <c r="P42" s="1" t="s">
        <v>94</v>
      </c>
      <c r="Q42" s="1" t="s">
        <v>71</v>
      </c>
      <c r="R42" s="1" t="s">
        <v>115</v>
      </c>
      <c r="S42" s="1">
        <v>295.0</v>
      </c>
      <c r="T42" s="1">
        <v>2.0</v>
      </c>
      <c r="U42" s="1" t="s">
        <v>36</v>
      </c>
      <c r="V42" s="1" t="s">
        <v>370</v>
      </c>
      <c r="W42" s="1" t="s">
        <v>371</v>
      </c>
      <c r="X42" s="1">
        <v>93450.0</v>
      </c>
      <c r="Y42" s="1">
        <v>6.3677172E7</v>
      </c>
      <c r="Z42" s="1" t="s">
        <v>372</v>
      </c>
      <c r="AA42" s="1">
        <v>28.0</v>
      </c>
    </row>
    <row r="43" ht="14.25" customHeight="1">
      <c r="A43" s="1">
        <v>1066.0</v>
      </c>
      <c r="B43" s="1" t="s">
        <v>373</v>
      </c>
      <c r="C43" s="1" t="s">
        <v>374</v>
      </c>
      <c r="D43" s="1" t="s">
        <v>375</v>
      </c>
      <c r="E43" s="1">
        <v>46.0</v>
      </c>
      <c r="F43" s="1">
        <f t="shared" si="1"/>
        <v>16.1</v>
      </c>
      <c r="G43" s="1">
        <v>3.22</v>
      </c>
      <c r="H43" s="1">
        <v>3.0</v>
      </c>
      <c r="I43" s="1">
        <f t="shared" si="2"/>
        <v>138</v>
      </c>
      <c r="J43" s="1">
        <f t="shared" si="3"/>
        <v>9.66</v>
      </c>
      <c r="K43" s="1">
        <f t="shared" si="4"/>
        <v>128.34</v>
      </c>
      <c r="L43" s="1">
        <f t="shared" si="5"/>
        <v>80.04</v>
      </c>
      <c r="M43" s="1" t="s">
        <v>43</v>
      </c>
      <c r="N43" s="1" t="s">
        <v>376</v>
      </c>
      <c r="O43" s="3" t="s">
        <v>286</v>
      </c>
      <c r="P43" s="1" t="s">
        <v>33</v>
      </c>
      <c r="Q43" s="1" t="s">
        <v>34</v>
      </c>
      <c r="R43" s="1" t="s">
        <v>106</v>
      </c>
      <c r="S43" s="1">
        <v>240.0</v>
      </c>
      <c r="T43" s="1">
        <v>4.0</v>
      </c>
      <c r="U43" s="1" t="s">
        <v>73</v>
      </c>
      <c r="V43" s="1" t="s">
        <v>377</v>
      </c>
      <c r="W43" s="1" t="s">
        <v>378</v>
      </c>
      <c r="X43" s="1">
        <v>94561.0</v>
      </c>
      <c r="Y43" s="1">
        <v>7.3758182E7</v>
      </c>
      <c r="Z43" s="1" t="s">
        <v>379</v>
      </c>
      <c r="AA43" s="1">
        <v>22.0</v>
      </c>
    </row>
    <row r="44" ht="14.25" customHeight="1">
      <c r="A44" s="1">
        <v>1067.0</v>
      </c>
      <c r="B44" s="1" t="s">
        <v>380</v>
      </c>
      <c r="C44" s="1" t="s">
        <v>381</v>
      </c>
      <c r="D44" s="1" t="s">
        <v>382</v>
      </c>
      <c r="E44" s="1">
        <v>290.0</v>
      </c>
      <c r="F44" s="1">
        <f t="shared" si="1"/>
        <v>101.5</v>
      </c>
      <c r="G44" s="1">
        <v>20.3</v>
      </c>
      <c r="H44" s="1">
        <v>1.0</v>
      </c>
      <c r="I44" s="1">
        <f t="shared" si="2"/>
        <v>290</v>
      </c>
      <c r="J44" s="1">
        <f t="shared" si="3"/>
        <v>20.3</v>
      </c>
      <c r="K44" s="1">
        <f t="shared" si="4"/>
        <v>269.7</v>
      </c>
      <c r="L44" s="1">
        <f t="shared" si="5"/>
        <v>168.2</v>
      </c>
      <c r="M44" s="1" t="s">
        <v>383</v>
      </c>
      <c r="N44" s="1" t="s">
        <v>384</v>
      </c>
      <c r="O44" s="3">
        <v>12.0</v>
      </c>
      <c r="P44" s="1" t="s">
        <v>46</v>
      </c>
      <c r="Q44" s="1" t="s">
        <v>47</v>
      </c>
      <c r="R44" s="1" t="s">
        <v>48</v>
      </c>
      <c r="S44" s="1">
        <v>120.0</v>
      </c>
      <c r="T44" s="1">
        <v>1.0</v>
      </c>
      <c r="U44" s="1" t="s">
        <v>49</v>
      </c>
      <c r="V44" s="1" t="s">
        <v>385</v>
      </c>
      <c r="W44" s="1" t="s">
        <v>386</v>
      </c>
      <c r="X44" s="1">
        <v>95672.0</v>
      </c>
      <c r="Y44" s="1">
        <v>7.9819292E7</v>
      </c>
      <c r="Z44" s="1" t="s">
        <v>387</v>
      </c>
      <c r="AA44" s="1">
        <v>60.0</v>
      </c>
    </row>
    <row r="45" ht="14.25" customHeight="1">
      <c r="A45" s="1">
        <v>1068.0</v>
      </c>
      <c r="B45" s="1" t="s">
        <v>388</v>
      </c>
      <c r="C45" s="1" t="s">
        <v>389</v>
      </c>
      <c r="D45" s="1" t="s">
        <v>390</v>
      </c>
      <c r="E45" s="1">
        <v>22.0</v>
      </c>
      <c r="F45" s="1">
        <f t="shared" si="1"/>
        <v>7.7</v>
      </c>
      <c r="G45" s="1">
        <v>1.54</v>
      </c>
      <c r="H45" s="1">
        <v>5.0</v>
      </c>
      <c r="I45" s="1">
        <f t="shared" si="2"/>
        <v>110</v>
      </c>
      <c r="J45" s="1">
        <f t="shared" si="3"/>
        <v>7.7</v>
      </c>
      <c r="K45" s="1">
        <f t="shared" si="4"/>
        <v>102.3</v>
      </c>
      <c r="L45" s="1">
        <f t="shared" si="5"/>
        <v>63.8</v>
      </c>
      <c r="M45" s="1" t="s">
        <v>165</v>
      </c>
      <c r="N45" s="1" t="s">
        <v>391</v>
      </c>
      <c r="O45" s="3" t="s">
        <v>392</v>
      </c>
      <c r="P45" s="1" t="s">
        <v>60</v>
      </c>
      <c r="Q45" s="1" t="s">
        <v>61</v>
      </c>
      <c r="R45" s="1" t="s">
        <v>84</v>
      </c>
      <c r="S45" s="1">
        <v>180.0</v>
      </c>
      <c r="T45" s="1">
        <v>5.0</v>
      </c>
      <c r="U45" s="1" t="s">
        <v>96</v>
      </c>
      <c r="V45" s="1" t="s">
        <v>393</v>
      </c>
      <c r="W45" s="1" t="s">
        <v>394</v>
      </c>
      <c r="X45" s="1">
        <v>96783.0</v>
      </c>
      <c r="Y45" s="1">
        <v>8.1831002E7</v>
      </c>
      <c r="Z45" s="1" t="s">
        <v>395</v>
      </c>
      <c r="AA45" s="1">
        <v>35.0</v>
      </c>
    </row>
    <row r="46" ht="14.25" customHeight="1">
      <c r="A46" s="1">
        <v>1069.0</v>
      </c>
      <c r="B46" s="1" t="s">
        <v>396</v>
      </c>
      <c r="C46" s="1" t="s">
        <v>397</v>
      </c>
      <c r="D46" s="1" t="s">
        <v>398</v>
      </c>
      <c r="E46" s="1">
        <v>63.0</v>
      </c>
      <c r="F46" s="1">
        <f t="shared" si="1"/>
        <v>22.05</v>
      </c>
      <c r="G46" s="1">
        <v>4.41</v>
      </c>
      <c r="H46" s="1">
        <v>4.0</v>
      </c>
      <c r="I46" s="1">
        <f t="shared" si="2"/>
        <v>252</v>
      </c>
      <c r="J46" s="1">
        <f t="shared" si="3"/>
        <v>17.64</v>
      </c>
      <c r="K46" s="1">
        <f t="shared" si="4"/>
        <v>234.36</v>
      </c>
      <c r="L46" s="1">
        <f t="shared" si="5"/>
        <v>146.16</v>
      </c>
      <c r="M46" s="1" t="s">
        <v>80</v>
      </c>
      <c r="N46" s="1" t="s">
        <v>399</v>
      </c>
      <c r="O46" s="3" t="s">
        <v>309</v>
      </c>
      <c r="P46" s="1" t="s">
        <v>33</v>
      </c>
      <c r="Q46" s="1" t="s">
        <v>71</v>
      </c>
      <c r="R46" s="1" t="s">
        <v>106</v>
      </c>
      <c r="S46" s="1">
        <v>260.0</v>
      </c>
      <c r="T46" s="1">
        <v>3.0</v>
      </c>
      <c r="U46" s="1" t="s">
        <v>36</v>
      </c>
      <c r="V46" s="1" t="s">
        <v>400</v>
      </c>
      <c r="W46" s="1" t="s">
        <v>401</v>
      </c>
      <c r="X46" s="1">
        <v>97894.0</v>
      </c>
      <c r="Y46" s="1">
        <v>8.3841112E7</v>
      </c>
      <c r="Z46" s="1" t="s">
        <v>402</v>
      </c>
      <c r="AA46" s="1">
        <v>18.0</v>
      </c>
    </row>
    <row r="47" ht="14.25" customHeight="1">
      <c r="A47" s="1">
        <v>1070.0</v>
      </c>
      <c r="B47" s="1" t="s">
        <v>403</v>
      </c>
      <c r="C47" s="1" t="s">
        <v>404</v>
      </c>
      <c r="D47" s="1" t="s">
        <v>405</v>
      </c>
      <c r="E47" s="1">
        <v>92.0</v>
      </c>
      <c r="F47" s="1">
        <f t="shared" si="1"/>
        <v>32.2</v>
      </c>
      <c r="G47" s="1">
        <v>6.44</v>
      </c>
      <c r="H47" s="1">
        <v>2.0</v>
      </c>
      <c r="I47" s="1">
        <f t="shared" si="2"/>
        <v>184</v>
      </c>
      <c r="J47" s="1">
        <f t="shared" si="3"/>
        <v>12.88</v>
      </c>
      <c r="K47" s="1">
        <f t="shared" si="4"/>
        <v>171.12</v>
      </c>
      <c r="L47" s="1">
        <f t="shared" si="5"/>
        <v>106.72</v>
      </c>
      <c r="M47" s="1" t="s">
        <v>57</v>
      </c>
      <c r="N47" s="1" t="s">
        <v>406</v>
      </c>
      <c r="O47" s="3" t="s">
        <v>182</v>
      </c>
      <c r="P47" s="1" t="s">
        <v>83</v>
      </c>
      <c r="Q47" s="1" t="s">
        <v>34</v>
      </c>
      <c r="R47" s="1" t="s">
        <v>35</v>
      </c>
      <c r="S47" s="1">
        <v>300.0</v>
      </c>
      <c r="T47" s="1">
        <v>2.0</v>
      </c>
      <c r="U47" s="1" t="s">
        <v>73</v>
      </c>
      <c r="V47" s="1" t="s">
        <v>407</v>
      </c>
      <c r="W47" s="1" t="s">
        <v>408</v>
      </c>
      <c r="X47" s="1">
        <v>98905.0</v>
      </c>
      <c r="Y47" s="1">
        <v>8.4851222E7</v>
      </c>
      <c r="Z47" s="1" t="s">
        <v>409</v>
      </c>
      <c r="AA47" s="1">
        <v>40.0</v>
      </c>
    </row>
    <row r="48" ht="14.25" customHeight="1">
      <c r="A48" s="1">
        <v>1071.0</v>
      </c>
      <c r="B48" s="1" t="s">
        <v>410</v>
      </c>
      <c r="C48" s="1" t="s">
        <v>411</v>
      </c>
      <c r="D48" s="1" t="s">
        <v>412</v>
      </c>
      <c r="E48" s="1">
        <v>235.0</v>
      </c>
      <c r="F48" s="1">
        <f t="shared" si="1"/>
        <v>82.25</v>
      </c>
      <c r="G48" s="1">
        <v>16.45</v>
      </c>
      <c r="H48" s="1">
        <v>1.0</v>
      </c>
      <c r="I48" s="1">
        <f t="shared" si="2"/>
        <v>235</v>
      </c>
      <c r="J48" s="1">
        <f t="shared" si="3"/>
        <v>16.45</v>
      </c>
      <c r="K48" s="1">
        <f t="shared" si="4"/>
        <v>218.55</v>
      </c>
      <c r="L48" s="1">
        <f t="shared" si="5"/>
        <v>136.3</v>
      </c>
      <c r="M48" s="1" t="s">
        <v>261</v>
      </c>
      <c r="N48" s="1" t="s">
        <v>413</v>
      </c>
      <c r="O48" s="3" t="s">
        <v>93</v>
      </c>
      <c r="P48" s="1" t="s">
        <v>94</v>
      </c>
      <c r="Q48" s="1" t="s">
        <v>47</v>
      </c>
      <c r="R48" s="1" t="s">
        <v>106</v>
      </c>
      <c r="S48" s="1">
        <v>250.0</v>
      </c>
      <c r="T48" s="1">
        <v>2.0</v>
      </c>
      <c r="U48" s="1" t="s">
        <v>96</v>
      </c>
      <c r="V48" s="1" t="s">
        <v>414</v>
      </c>
      <c r="W48" s="1" t="s">
        <v>415</v>
      </c>
      <c r="X48" s="1">
        <v>99016.0</v>
      </c>
      <c r="Y48" s="1">
        <v>8.5861332E7</v>
      </c>
      <c r="Z48" s="1" t="s">
        <v>416</v>
      </c>
      <c r="AA48" s="1">
        <v>42.0</v>
      </c>
    </row>
    <row r="49" ht="14.25" customHeight="1">
      <c r="A49" s="1">
        <v>1072.0</v>
      </c>
      <c r="B49" s="1" t="s">
        <v>417</v>
      </c>
      <c r="C49" s="1" t="s">
        <v>418</v>
      </c>
      <c r="D49" s="1" t="s">
        <v>419</v>
      </c>
      <c r="E49" s="1">
        <v>110.0</v>
      </c>
      <c r="F49" s="1">
        <f t="shared" si="1"/>
        <v>38.5</v>
      </c>
      <c r="G49" s="1">
        <v>7.7</v>
      </c>
      <c r="H49" s="1">
        <v>3.0</v>
      </c>
      <c r="I49" s="1">
        <f t="shared" si="2"/>
        <v>330</v>
      </c>
      <c r="J49" s="1">
        <f t="shared" si="3"/>
        <v>23.1</v>
      </c>
      <c r="K49" s="1">
        <f t="shared" si="4"/>
        <v>306.9</v>
      </c>
      <c r="L49" s="1">
        <f t="shared" si="5"/>
        <v>191.4</v>
      </c>
      <c r="M49" s="1" t="s">
        <v>57</v>
      </c>
      <c r="N49" s="1" t="s">
        <v>420</v>
      </c>
      <c r="O49" s="3" t="s">
        <v>45</v>
      </c>
      <c r="P49" s="1" t="s">
        <v>46</v>
      </c>
      <c r="Q49" s="1" t="s">
        <v>61</v>
      </c>
      <c r="R49" s="1" t="s">
        <v>84</v>
      </c>
      <c r="S49" s="1">
        <v>320.0</v>
      </c>
      <c r="T49" s="1">
        <v>5.0</v>
      </c>
      <c r="U49" s="1" t="s">
        <v>49</v>
      </c>
      <c r="V49" s="1" t="s">
        <v>421</v>
      </c>
      <c r="W49" s="1" t="s">
        <v>422</v>
      </c>
      <c r="X49" s="1">
        <v>90127.0</v>
      </c>
      <c r="Y49" s="1">
        <v>8.6871442E7</v>
      </c>
      <c r="Z49" s="1" t="s">
        <v>423</v>
      </c>
      <c r="AA49" s="1">
        <v>25.0</v>
      </c>
    </row>
    <row r="50" ht="14.25" customHeight="1">
      <c r="A50" s="1">
        <v>1073.0</v>
      </c>
      <c r="B50" s="1" t="s">
        <v>424</v>
      </c>
      <c r="C50" s="1" t="s">
        <v>425</v>
      </c>
      <c r="D50" s="1" t="s">
        <v>426</v>
      </c>
      <c r="E50" s="1">
        <v>205.0</v>
      </c>
      <c r="F50" s="1">
        <f t="shared" si="1"/>
        <v>71.75</v>
      </c>
      <c r="G50" s="1">
        <v>14.35</v>
      </c>
      <c r="H50" s="1">
        <v>2.0</v>
      </c>
      <c r="I50" s="1">
        <f t="shared" si="2"/>
        <v>410</v>
      </c>
      <c r="J50" s="1">
        <f t="shared" si="3"/>
        <v>28.7</v>
      </c>
      <c r="K50" s="1">
        <f t="shared" si="4"/>
        <v>381.3</v>
      </c>
      <c r="L50" s="1">
        <f t="shared" si="5"/>
        <v>237.8</v>
      </c>
      <c r="M50" s="1" t="s">
        <v>113</v>
      </c>
      <c r="N50" s="1" t="s">
        <v>427</v>
      </c>
      <c r="O50" s="3" t="s">
        <v>309</v>
      </c>
      <c r="P50" s="1" t="s">
        <v>60</v>
      </c>
      <c r="Q50" s="1" t="s">
        <v>34</v>
      </c>
      <c r="R50" s="1" t="s">
        <v>48</v>
      </c>
      <c r="S50" s="1">
        <v>290.0</v>
      </c>
      <c r="T50" s="1">
        <v>2.0</v>
      </c>
      <c r="U50" s="1" t="s">
        <v>96</v>
      </c>
      <c r="V50" s="1" t="s">
        <v>428</v>
      </c>
      <c r="W50" s="1" t="s">
        <v>429</v>
      </c>
      <c r="X50" s="1">
        <v>91238.0</v>
      </c>
      <c r="Y50" s="1">
        <v>8.7881552E7</v>
      </c>
      <c r="Z50" s="1" t="s">
        <v>430</v>
      </c>
      <c r="AA50" s="1">
        <v>20.0</v>
      </c>
    </row>
    <row r="51" ht="14.25" customHeight="1">
      <c r="A51" s="1">
        <v>1074.0</v>
      </c>
      <c r="B51" s="1" t="s">
        <v>431</v>
      </c>
      <c r="C51" s="1" t="s">
        <v>432</v>
      </c>
      <c r="D51" s="1" t="s">
        <v>433</v>
      </c>
      <c r="E51" s="1">
        <v>29.0</v>
      </c>
      <c r="F51" s="1">
        <f t="shared" si="1"/>
        <v>10.15</v>
      </c>
      <c r="G51" s="1">
        <v>2.03</v>
      </c>
      <c r="H51" s="1">
        <v>6.0</v>
      </c>
      <c r="I51" s="1">
        <f t="shared" si="2"/>
        <v>174</v>
      </c>
      <c r="J51" s="1">
        <f t="shared" si="3"/>
        <v>12.18</v>
      </c>
      <c r="K51" s="1">
        <f t="shared" si="4"/>
        <v>161.82</v>
      </c>
      <c r="L51" s="1">
        <f t="shared" si="5"/>
        <v>100.92</v>
      </c>
      <c r="M51" s="1" t="s">
        <v>383</v>
      </c>
      <c r="N51" s="1" t="s">
        <v>434</v>
      </c>
      <c r="O51" s="3" t="s">
        <v>182</v>
      </c>
      <c r="P51" s="1" t="s">
        <v>133</v>
      </c>
      <c r="Q51" s="1" t="s">
        <v>47</v>
      </c>
      <c r="R51" s="1" t="s">
        <v>106</v>
      </c>
      <c r="S51" s="1">
        <v>350.0</v>
      </c>
      <c r="T51" s="1">
        <v>1.0</v>
      </c>
      <c r="U51" s="1" t="s">
        <v>36</v>
      </c>
      <c r="V51" s="1" t="s">
        <v>435</v>
      </c>
      <c r="W51" s="1" t="s">
        <v>436</v>
      </c>
      <c r="X51" s="1">
        <v>92349.0</v>
      </c>
      <c r="Y51" s="1">
        <v>8.8891662E7</v>
      </c>
      <c r="Z51" s="1" t="s">
        <v>437</v>
      </c>
      <c r="AA51" s="1">
        <v>18.0</v>
      </c>
    </row>
    <row r="52" ht="14.25" customHeight="1">
      <c r="A52" s="1">
        <v>1075.0</v>
      </c>
      <c r="B52" s="1" t="s">
        <v>438</v>
      </c>
      <c r="C52" s="1" t="s">
        <v>439</v>
      </c>
      <c r="D52" s="1" t="s">
        <v>440</v>
      </c>
      <c r="E52" s="1">
        <v>325.0</v>
      </c>
      <c r="F52" s="1">
        <f t="shared" si="1"/>
        <v>113.75</v>
      </c>
      <c r="G52" s="1">
        <v>22.75</v>
      </c>
      <c r="H52" s="1">
        <v>1.0</v>
      </c>
      <c r="I52" s="1">
        <f t="shared" si="2"/>
        <v>325</v>
      </c>
      <c r="J52" s="1">
        <f t="shared" si="3"/>
        <v>22.75</v>
      </c>
      <c r="K52" s="1">
        <f t="shared" si="4"/>
        <v>302.25</v>
      </c>
      <c r="L52" s="1">
        <f t="shared" si="5"/>
        <v>188.5</v>
      </c>
      <c r="M52" s="1" t="s">
        <v>165</v>
      </c>
      <c r="N52" s="1" t="s">
        <v>441</v>
      </c>
      <c r="O52" s="3" t="s">
        <v>82</v>
      </c>
      <c r="P52" s="1" t="s">
        <v>33</v>
      </c>
      <c r="Q52" s="1" t="s">
        <v>61</v>
      </c>
      <c r="R52" s="1" t="s">
        <v>115</v>
      </c>
      <c r="S52" s="1">
        <v>210.0</v>
      </c>
      <c r="T52" s="1">
        <v>1.0</v>
      </c>
      <c r="U52" s="1" t="s">
        <v>49</v>
      </c>
      <c r="V52" s="1" t="s">
        <v>442</v>
      </c>
      <c r="W52" s="1" t="s">
        <v>443</v>
      </c>
      <c r="X52" s="1">
        <v>93450.0</v>
      </c>
      <c r="Y52" s="1">
        <v>8.9901772E7</v>
      </c>
      <c r="Z52" s="1" t="s">
        <v>444</v>
      </c>
      <c r="AA52" s="1">
        <v>28.0</v>
      </c>
    </row>
    <row r="53" ht="14.25" customHeight="1">
      <c r="A53" s="1">
        <v>1076.0</v>
      </c>
      <c r="B53" s="1" t="s">
        <v>445</v>
      </c>
      <c r="C53" s="1" t="s">
        <v>446</v>
      </c>
      <c r="D53" s="1" t="s">
        <v>447</v>
      </c>
      <c r="E53" s="1">
        <v>57.0</v>
      </c>
      <c r="F53" s="1">
        <f t="shared" si="1"/>
        <v>19.95</v>
      </c>
      <c r="G53" s="1">
        <v>3.99</v>
      </c>
      <c r="H53" s="1">
        <v>3.0</v>
      </c>
      <c r="I53" s="1">
        <f t="shared" si="2"/>
        <v>171</v>
      </c>
      <c r="J53" s="1">
        <f t="shared" si="3"/>
        <v>11.97</v>
      </c>
      <c r="K53" s="1">
        <f t="shared" si="4"/>
        <v>159.03</v>
      </c>
      <c r="L53" s="1">
        <f t="shared" si="5"/>
        <v>99.18</v>
      </c>
      <c r="M53" s="1" t="s">
        <v>80</v>
      </c>
      <c r="N53" s="1" t="s">
        <v>448</v>
      </c>
      <c r="O53" s="3" t="s">
        <v>449</v>
      </c>
      <c r="P53" s="1" t="s">
        <v>83</v>
      </c>
      <c r="Q53" s="1" t="s">
        <v>47</v>
      </c>
      <c r="R53" s="1" t="s">
        <v>35</v>
      </c>
      <c r="S53" s="1">
        <v>280.0</v>
      </c>
      <c r="T53" s="1">
        <v>4.0</v>
      </c>
      <c r="U53" s="1" t="s">
        <v>73</v>
      </c>
      <c r="V53" s="1" t="s">
        <v>450</v>
      </c>
      <c r="W53" s="1" t="s">
        <v>451</v>
      </c>
      <c r="X53" s="1">
        <v>94561.0</v>
      </c>
      <c r="Y53" s="1">
        <v>9.0911882E7</v>
      </c>
      <c r="Z53" s="1" t="s">
        <v>452</v>
      </c>
      <c r="AA53" s="1">
        <v>24.0</v>
      </c>
    </row>
    <row r="54" ht="14.25" customHeight="1">
      <c r="A54" s="1">
        <v>1077.0</v>
      </c>
      <c r="B54" s="1" t="s">
        <v>453</v>
      </c>
      <c r="C54" s="1" t="s">
        <v>454</v>
      </c>
      <c r="D54" s="1" t="s">
        <v>455</v>
      </c>
      <c r="E54" s="1">
        <v>68.0</v>
      </c>
      <c r="F54" s="1">
        <f t="shared" si="1"/>
        <v>23.8</v>
      </c>
      <c r="G54" s="1">
        <v>4.76</v>
      </c>
      <c r="H54" s="1">
        <v>4.0</v>
      </c>
      <c r="I54" s="1">
        <f t="shared" si="2"/>
        <v>272</v>
      </c>
      <c r="J54" s="1">
        <f t="shared" si="3"/>
        <v>19.04</v>
      </c>
      <c r="K54" s="1">
        <f t="shared" si="4"/>
        <v>252.96</v>
      </c>
      <c r="L54" s="1">
        <f t="shared" si="5"/>
        <v>157.76</v>
      </c>
      <c r="M54" s="1" t="s">
        <v>57</v>
      </c>
      <c r="N54" s="1" t="s">
        <v>456</v>
      </c>
      <c r="O54" s="3">
        <v>5.0</v>
      </c>
      <c r="P54" s="1" t="s">
        <v>94</v>
      </c>
      <c r="Q54" s="1" t="s">
        <v>34</v>
      </c>
      <c r="R54" s="1" t="s">
        <v>106</v>
      </c>
      <c r="S54" s="1">
        <v>180.0</v>
      </c>
      <c r="T54" s="1">
        <v>4.0</v>
      </c>
      <c r="U54" s="1" t="s">
        <v>96</v>
      </c>
      <c r="V54" s="1" t="s">
        <v>457</v>
      </c>
      <c r="W54" s="1" t="s">
        <v>458</v>
      </c>
      <c r="X54" s="1">
        <v>95672.0</v>
      </c>
      <c r="Y54" s="1">
        <v>9.1921992E7</v>
      </c>
      <c r="Z54" s="1" t="s">
        <v>459</v>
      </c>
      <c r="AA54" s="1">
        <v>30.0</v>
      </c>
    </row>
    <row r="55" ht="14.25" customHeight="1">
      <c r="A55" s="1">
        <v>1078.0</v>
      </c>
      <c r="B55" s="1" t="s">
        <v>460</v>
      </c>
      <c r="C55" s="1" t="s">
        <v>461</v>
      </c>
      <c r="D55" s="1" t="s">
        <v>462</v>
      </c>
      <c r="E55" s="1">
        <v>49.0</v>
      </c>
      <c r="F55" s="1">
        <f t="shared" si="1"/>
        <v>17.15</v>
      </c>
      <c r="G55" s="1">
        <v>3.43</v>
      </c>
      <c r="H55" s="1">
        <v>2.0</v>
      </c>
      <c r="I55" s="1">
        <f t="shared" si="2"/>
        <v>98</v>
      </c>
      <c r="J55" s="1">
        <f t="shared" si="3"/>
        <v>6.86</v>
      </c>
      <c r="K55" s="1">
        <f t="shared" si="4"/>
        <v>91.14</v>
      </c>
      <c r="L55" s="1">
        <f t="shared" si="5"/>
        <v>56.84</v>
      </c>
      <c r="M55" s="1" t="s">
        <v>218</v>
      </c>
      <c r="N55" s="1" t="s">
        <v>463</v>
      </c>
      <c r="O55" s="3" t="s">
        <v>182</v>
      </c>
      <c r="P55" s="1" t="s">
        <v>60</v>
      </c>
      <c r="Q55" s="1" t="s">
        <v>71</v>
      </c>
      <c r="R55" s="1" t="s">
        <v>115</v>
      </c>
      <c r="S55" s="1">
        <v>230.0</v>
      </c>
      <c r="T55" s="1">
        <v>5.0</v>
      </c>
      <c r="U55" s="1" t="s">
        <v>36</v>
      </c>
      <c r="V55" s="1" t="s">
        <v>464</v>
      </c>
      <c r="W55" s="1" t="s">
        <v>465</v>
      </c>
      <c r="X55" s="1">
        <v>96783.0</v>
      </c>
      <c r="Y55" s="1">
        <v>9.2932002E7</v>
      </c>
      <c r="Z55" s="1" t="s">
        <v>466</v>
      </c>
      <c r="AA55" s="1">
        <v>28.0</v>
      </c>
    </row>
    <row r="56" ht="14.25" customHeight="1">
      <c r="O56" s="3"/>
    </row>
    <row r="57" ht="14.25" customHeight="1">
      <c r="O57" s="3"/>
    </row>
    <row r="58" ht="14.25" customHeight="1">
      <c r="O58" s="3"/>
    </row>
    <row r="59" ht="14.25" customHeight="1">
      <c r="O59" s="3"/>
    </row>
    <row r="60" ht="14.25" customHeight="1">
      <c r="O60" s="3"/>
    </row>
    <row r="61" ht="14.25" customHeight="1">
      <c r="O61" s="3"/>
    </row>
    <row r="62" ht="14.25" customHeight="1">
      <c r="O62" s="3"/>
    </row>
    <row r="63" ht="14.25" customHeight="1">
      <c r="O63" s="3"/>
    </row>
    <row r="64" ht="14.25" customHeight="1">
      <c r="O64" s="3"/>
    </row>
    <row r="65" ht="14.25" customHeight="1">
      <c r="O65" s="3"/>
    </row>
    <row r="66" ht="14.25" customHeight="1">
      <c r="O66" s="3"/>
    </row>
    <row r="67" ht="14.25" customHeight="1">
      <c r="O67" s="3"/>
    </row>
    <row r="68" ht="14.25" customHeight="1">
      <c r="O68" s="3"/>
    </row>
    <row r="69" ht="14.25" customHeight="1">
      <c r="O69" s="3"/>
    </row>
    <row r="70" ht="14.25" customHeight="1">
      <c r="O70" s="3"/>
    </row>
    <row r="71" ht="14.25" customHeight="1">
      <c r="O71" s="3"/>
    </row>
    <row r="72" ht="14.25" customHeight="1">
      <c r="O72" s="3"/>
    </row>
    <row r="73" ht="14.25" customHeight="1">
      <c r="O73" s="3"/>
    </row>
    <row r="74" ht="14.25" customHeight="1">
      <c r="O74" s="3"/>
    </row>
    <row r="75" ht="14.25" customHeight="1">
      <c r="O75" s="3"/>
    </row>
    <row r="76" ht="14.25" customHeight="1">
      <c r="O76" s="3"/>
    </row>
    <row r="77" ht="14.25" customHeight="1">
      <c r="O77" s="3"/>
    </row>
    <row r="78" ht="14.25" customHeight="1">
      <c r="O78" s="3"/>
    </row>
    <row r="79" ht="14.25" customHeight="1">
      <c r="O79" s="3"/>
    </row>
    <row r="80" ht="14.25" customHeight="1">
      <c r="O80" s="3"/>
    </row>
    <row r="81" ht="14.25" customHeight="1">
      <c r="O81" s="3"/>
    </row>
    <row r="82" ht="14.25" customHeight="1">
      <c r="O82" s="3"/>
    </row>
    <row r="83" ht="14.25" customHeight="1">
      <c r="O83" s="3"/>
    </row>
    <row r="84" ht="14.25" customHeight="1">
      <c r="O84" s="3"/>
    </row>
    <row r="85" ht="14.25" customHeight="1">
      <c r="O85" s="3"/>
    </row>
    <row r="86" ht="14.25" customHeight="1">
      <c r="O86" s="3"/>
    </row>
    <row r="87" ht="14.25" customHeight="1">
      <c r="O87" s="3"/>
    </row>
    <row r="88" ht="14.25" customHeight="1">
      <c r="O88" s="3"/>
    </row>
    <row r="89" ht="14.25" customHeight="1">
      <c r="O89" s="3"/>
    </row>
    <row r="90" ht="14.25" customHeight="1">
      <c r="O90" s="3"/>
    </row>
    <row r="91" ht="14.25" customHeight="1">
      <c r="O91" s="3"/>
    </row>
    <row r="92" ht="14.25" customHeight="1">
      <c r="O92" s="3"/>
    </row>
    <row r="93" ht="14.25" customHeight="1">
      <c r="O93" s="3"/>
    </row>
    <row r="94" ht="14.25" customHeight="1">
      <c r="O94" s="3"/>
    </row>
    <row r="95" ht="14.25" customHeight="1">
      <c r="O95" s="3"/>
    </row>
    <row r="96" ht="14.25" customHeight="1">
      <c r="O96" s="3"/>
    </row>
    <row r="97" ht="14.25" customHeight="1">
      <c r="O97" s="3"/>
    </row>
    <row r="98" ht="14.25" customHeight="1">
      <c r="O98" s="3"/>
    </row>
    <row r="99" ht="14.25" customHeight="1">
      <c r="O99" s="3"/>
    </row>
    <row r="100" ht="14.25" customHeight="1">
      <c r="O100" s="3"/>
    </row>
    <row r="101" ht="14.25" customHeight="1">
      <c r="O101" s="3"/>
    </row>
    <row r="102" ht="14.25" customHeight="1">
      <c r="O102" s="3"/>
    </row>
    <row r="103" ht="14.25" customHeight="1">
      <c r="O103" s="3"/>
    </row>
    <row r="104" ht="14.25" customHeight="1">
      <c r="O104" s="3"/>
    </row>
    <row r="105" ht="14.25" customHeight="1">
      <c r="O105" s="3"/>
    </row>
    <row r="106" ht="14.25" customHeight="1">
      <c r="O106" s="3"/>
    </row>
    <row r="107" ht="14.25" customHeight="1">
      <c r="O107" s="3"/>
    </row>
    <row r="108" ht="14.25" customHeight="1">
      <c r="O108" s="3"/>
    </row>
    <row r="109" ht="14.25" customHeight="1">
      <c r="O109" s="3"/>
    </row>
    <row r="110" ht="14.25" customHeight="1">
      <c r="O110" s="3"/>
    </row>
    <row r="111" ht="14.25" customHeight="1">
      <c r="O111" s="3"/>
    </row>
    <row r="112" ht="14.25" customHeight="1">
      <c r="O112" s="3"/>
    </row>
    <row r="113" ht="14.25" customHeight="1">
      <c r="O113" s="3"/>
    </row>
    <row r="114" ht="14.25" customHeight="1">
      <c r="O114" s="3"/>
    </row>
    <row r="115" ht="14.25" customHeight="1">
      <c r="O115" s="3"/>
    </row>
    <row r="116" ht="14.25" customHeight="1">
      <c r="O116" s="3"/>
    </row>
    <row r="117" ht="14.25" customHeight="1">
      <c r="O117" s="3"/>
    </row>
    <row r="118" ht="14.25" customHeight="1">
      <c r="O118" s="3"/>
    </row>
    <row r="119" ht="14.25" customHeight="1">
      <c r="O119" s="3"/>
    </row>
    <row r="120" ht="14.25" customHeight="1">
      <c r="O120" s="3"/>
    </row>
    <row r="121" ht="14.25" customHeight="1">
      <c r="O121" s="3"/>
    </row>
    <row r="122" ht="14.25" customHeight="1">
      <c r="O122" s="3"/>
    </row>
    <row r="123" ht="14.25" customHeight="1">
      <c r="O123" s="3"/>
    </row>
    <row r="124" ht="14.25" customHeight="1">
      <c r="O124" s="3"/>
    </row>
    <row r="125" ht="14.25" customHeight="1">
      <c r="O125" s="3"/>
    </row>
    <row r="126" ht="14.25" customHeight="1">
      <c r="O126" s="3"/>
    </row>
    <row r="127" ht="14.25" customHeight="1">
      <c r="O127" s="3"/>
    </row>
    <row r="128" ht="14.25" customHeight="1">
      <c r="O128" s="3"/>
    </row>
    <row r="129" ht="14.25" customHeight="1">
      <c r="O129" s="3"/>
    </row>
    <row r="130" ht="14.25" customHeight="1">
      <c r="O130" s="3"/>
    </row>
    <row r="131" ht="14.25" customHeight="1">
      <c r="O131" s="3"/>
    </row>
    <row r="132" ht="14.25" customHeight="1">
      <c r="O132" s="3"/>
    </row>
    <row r="133" ht="14.25" customHeight="1">
      <c r="O133" s="3"/>
    </row>
    <row r="134" ht="14.25" customHeight="1">
      <c r="O134" s="3"/>
    </row>
    <row r="135" ht="14.25" customHeight="1">
      <c r="O135" s="3"/>
    </row>
    <row r="136" ht="14.25" customHeight="1">
      <c r="O136" s="3"/>
    </row>
    <row r="137" ht="14.25" customHeight="1">
      <c r="O137" s="3"/>
    </row>
    <row r="138" ht="14.25" customHeight="1">
      <c r="O138" s="3"/>
    </row>
    <row r="139" ht="14.25" customHeight="1">
      <c r="O139" s="3"/>
    </row>
    <row r="140" ht="14.25" customHeight="1">
      <c r="O140" s="3"/>
    </row>
    <row r="141" ht="14.25" customHeight="1">
      <c r="O141" s="3"/>
    </row>
    <row r="142" ht="14.25" customHeight="1">
      <c r="O142" s="3"/>
    </row>
    <row r="143" ht="14.25" customHeight="1">
      <c r="O143" s="3"/>
    </row>
    <row r="144" ht="14.25" customHeight="1">
      <c r="O144" s="3"/>
    </row>
    <row r="145" ht="14.25" customHeight="1">
      <c r="O145" s="3"/>
    </row>
    <row r="146" ht="14.25" customHeight="1">
      <c r="O146" s="3"/>
    </row>
    <row r="147" ht="14.25" customHeight="1">
      <c r="O147" s="3"/>
    </row>
    <row r="148" ht="14.25" customHeight="1">
      <c r="O148" s="3"/>
    </row>
    <row r="149" ht="14.25" customHeight="1">
      <c r="O149" s="3"/>
    </row>
    <row r="150" ht="14.25" customHeight="1">
      <c r="O150" s="3"/>
    </row>
    <row r="151" ht="14.25" customHeight="1">
      <c r="O151" s="3"/>
    </row>
    <row r="152" ht="14.25" customHeight="1">
      <c r="O152" s="3"/>
    </row>
    <row r="153" ht="14.25" customHeight="1">
      <c r="O153" s="3"/>
    </row>
    <row r="154" ht="14.25" customHeight="1">
      <c r="O154" s="3"/>
    </row>
    <row r="155" ht="14.25" customHeight="1">
      <c r="O155" s="3"/>
    </row>
    <row r="156" ht="14.25" customHeight="1">
      <c r="O156" s="3"/>
    </row>
    <row r="157" ht="14.25" customHeight="1">
      <c r="O157" s="3"/>
    </row>
    <row r="158" ht="14.25" customHeight="1">
      <c r="O158" s="3"/>
    </row>
    <row r="159" ht="14.25" customHeight="1">
      <c r="O159" s="3"/>
    </row>
    <row r="160" ht="14.25" customHeight="1">
      <c r="O160" s="3"/>
    </row>
    <row r="161" ht="14.25" customHeight="1">
      <c r="O161" s="3"/>
    </row>
    <row r="162" ht="14.25" customHeight="1">
      <c r="O162" s="3"/>
    </row>
    <row r="163" ht="14.25" customHeight="1">
      <c r="O163" s="3"/>
    </row>
    <row r="164" ht="14.25" customHeight="1">
      <c r="O164" s="3"/>
    </row>
    <row r="165" ht="14.25" customHeight="1">
      <c r="O165" s="3"/>
    </row>
    <row r="166" ht="14.25" customHeight="1">
      <c r="O166" s="3"/>
    </row>
    <row r="167" ht="14.25" customHeight="1">
      <c r="O167" s="3"/>
    </row>
    <row r="168" ht="14.25" customHeight="1">
      <c r="O168" s="3"/>
    </row>
    <row r="169" ht="14.25" customHeight="1">
      <c r="O169" s="3"/>
    </row>
    <row r="170" ht="14.25" customHeight="1">
      <c r="O170" s="3"/>
    </row>
    <row r="171" ht="14.25" customHeight="1">
      <c r="O171" s="3"/>
    </row>
    <row r="172" ht="14.25" customHeight="1">
      <c r="O172" s="3"/>
    </row>
    <row r="173" ht="14.25" customHeight="1">
      <c r="O173" s="3"/>
    </row>
    <row r="174" ht="14.25" customHeight="1">
      <c r="O174" s="3"/>
    </row>
    <row r="175" ht="14.25" customHeight="1">
      <c r="O175" s="3"/>
    </row>
    <row r="176" ht="14.25" customHeight="1">
      <c r="O176" s="3"/>
    </row>
    <row r="177" ht="14.25" customHeight="1">
      <c r="O177" s="3"/>
    </row>
    <row r="178" ht="14.25" customHeight="1">
      <c r="O178" s="3"/>
    </row>
    <row r="179" ht="14.25" customHeight="1">
      <c r="O179" s="3"/>
    </row>
    <row r="180" ht="14.25" customHeight="1">
      <c r="O180" s="3"/>
    </row>
    <row r="181" ht="14.25" customHeight="1">
      <c r="O181" s="3"/>
    </row>
    <row r="182" ht="14.25" customHeight="1">
      <c r="O182" s="3"/>
    </row>
    <row r="183" ht="14.25" customHeight="1">
      <c r="O183" s="3"/>
    </row>
    <row r="184" ht="14.25" customHeight="1">
      <c r="O184" s="3"/>
    </row>
    <row r="185" ht="14.25" customHeight="1">
      <c r="O185" s="3"/>
    </row>
    <row r="186" ht="14.25" customHeight="1">
      <c r="O186" s="3"/>
    </row>
    <row r="187" ht="14.25" customHeight="1">
      <c r="O187" s="3"/>
    </row>
    <row r="188" ht="14.25" customHeight="1">
      <c r="O188" s="3"/>
    </row>
    <row r="189" ht="14.25" customHeight="1">
      <c r="O189" s="3"/>
    </row>
    <row r="190" ht="14.25" customHeight="1">
      <c r="O190" s="3"/>
    </row>
    <row r="191" ht="14.25" customHeight="1">
      <c r="O191" s="3"/>
    </row>
    <row r="192" ht="14.25" customHeight="1">
      <c r="O192" s="3"/>
    </row>
    <row r="193" ht="14.25" customHeight="1">
      <c r="O193" s="3"/>
    </row>
    <row r="194" ht="14.25" customHeight="1">
      <c r="O194" s="3"/>
    </row>
    <row r="195" ht="14.25" customHeight="1">
      <c r="O195" s="3"/>
    </row>
    <row r="196" ht="14.25" customHeight="1">
      <c r="O196" s="3"/>
    </row>
    <row r="197" ht="14.25" customHeight="1">
      <c r="O197" s="3"/>
    </row>
    <row r="198" ht="14.25" customHeight="1">
      <c r="O198" s="3"/>
    </row>
    <row r="199" ht="14.25" customHeight="1">
      <c r="O199" s="3"/>
    </row>
    <row r="200" ht="14.25" customHeight="1">
      <c r="O200" s="3"/>
    </row>
    <row r="201" ht="14.25" customHeight="1">
      <c r="O201" s="3"/>
    </row>
    <row r="202" ht="14.25" customHeight="1">
      <c r="O202" s="3"/>
    </row>
    <row r="203" ht="14.25" customHeight="1">
      <c r="O203" s="3"/>
    </row>
    <row r="204" ht="14.25" customHeight="1">
      <c r="O204" s="3"/>
    </row>
    <row r="205" ht="14.25" customHeight="1">
      <c r="O205" s="3"/>
    </row>
    <row r="206" ht="14.25" customHeight="1">
      <c r="O206" s="3"/>
    </row>
    <row r="207" ht="14.25" customHeight="1">
      <c r="O207" s="3"/>
    </row>
    <row r="208" ht="14.25" customHeight="1">
      <c r="O208" s="3"/>
    </row>
    <row r="209" ht="14.25" customHeight="1">
      <c r="O209" s="3"/>
    </row>
    <row r="210" ht="14.25" customHeight="1">
      <c r="O210" s="3"/>
    </row>
    <row r="211" ht="14.25" customHeight="1">
      <c r="O211" s="3"/>
    </row>
    <row r="212" ht="14.25" customHeight="1">
      <c r="O212" s="3"/>
    </row>
    <row r="213" ht="14.25" customHeight="1">
      <c r="O213" s="3"/>
    </row>
    <row r="214" ht="14.25" customHeight="1">
      <c r="O214" s="3"/>
    </row>
    <row r="215" ht="14.25" customHeight="1">
      <c r="O215" s="3"/>
    </row>
    <row r="216" ht="14.25" customHeight="1">
      <c r="O216" s="3"/>
    </row>
    <row r="217" ht="14.25" customHeight="1">
      <c r="O217" s="3"/>
    </row>
    <row r="218" ht="14.25" customHeight="1">
      <c r="O218" s="3"/>
    </row>
    <row r="219" ht="14.25" customHeight="1">
      <c r="O219" s="3"/>
    </row>
    <row r="220" ht="14.25" customHeight="1">
      <c r="O220" s="3"/>
    </row>
    <row r="221" ht="14.25" customHeight="1">
      <c r="O221" s="3"/>
    </row>
    <row r="222" ht="14.25" customHeight="1">
      <c r="O222" s="3"/>
    </row>
    <row r="223" ht="14.25" customHeight="1">
      <c r="O223" s="3"/>
    </row>
    <row r="224" ht="14.25" customHeight="1">
      <c r="O224" s="3"/>
    </row>
    <row r="225" ht="14.25" customHeight="1">
      <c r="O225" s="3"/>
    </row>
    <row r="226" ht="14.25" customHeight="1">
      <c r="O226" s="3"/>
    </row>
    <row r="227" ht="14.25" customHeight="1">
      <c r="O227" s="3"/>
    </row>
    <row r="228" ht="14.25" customHeight="1">
      <c r="O228" s="3"/>
    </row>
    <row r="229" ht="14.25" customHeight="1">
      <c r="O229" s="3"/>
    </row>
    <row r="230" ht="14.25" customHeight="1">
      <c r="O230" s="3"/>
    </row>
    <row r="231" ht="14.25" customHeight="1">
      <c r="O231" s="3"/>
    </row>
    <row r="232" ht="14.25" customHeight="1">
      <c r="O232" s="3"/>
    </row>
    <row r="233" ht="14.25" customHeight="1">
      <c r="O233" s="3"/>
    </row>
    <row r="234" ht="14.25" customHeight="1">
      <c r="O234" s="3"/>
    </row>
    <row r="235" ht="14.25" customHeight="1">
      <c r="O235" s="3"/>
    </row>
    <row r="236" ht="14.25" customHeight="1">
      <c r="O236" s="3"/>
    </row>
    <row r="237" ht="14.25" customHeight="1">
      <c r="O237" s="3"/>
    </row>
    <row r="238" ht="14.25" customHeight="1">
      <c r="O238" s="3"/>
    </row>
    <row r="239" ht="14.25" customHeight="1">
      <c r="O239" s="3"/>
    </row>
    <row r="240" ht="14.25" customHeight="1">
      <c r="O240" s="3"/>
    </row>
    <row r="241" ht="14.25" customHeight="1">
      <c r="O241" s="3"/>
    </row>
    <row r="242" ht="14.25" customHeight="1">
      <c r="O242" s="3"/>
    </row>
    <row r="243" ht="14.25" customHeight="1">
      <c r="O243" s="3"/>
    </row>
    <row r="244" ht="14.25" customHeight="1">
      <c r="O244" s="3"/>
    </row>
    <row r="245" ht="14.25" customHeight="1">
      <c r="O245" s="3"/>
    </row>
    <row r="246" ht="14.25" customHeight="1">
      <c r="O246" s="3"/>
    </row>
    <row r="247" ht="14.25" customHeight="1">
      <c r="O247" s="3"/>
    </row>
    <row r="248" ht="14.25" customHeight="1">
      <c r="O248" s="3"/>
    </row>
    <row r="249" ht="14.25" customHeight="1">
      <c r="O249" s="3"/>
    </row>
    <row r="250" ht="14.25" customHeight="1">
      <c r="O250" s="3"/>
    </row>
    <row r="251" ht="14.25" customHeight="1">
      <c r="O251" s="3"/>
    </row>
    <row r="252" ht="14.25" customHeight="1">
      <c r="O252" s="3"/>
    </row>
    <row r="253" ht="14.25" customHeight="1">
      <c r="O253" s="3"/>
    </row>
    <row r="254" ht="14.25" customHeight="1">
      <c r="O254" s="3"/>
    </row>
    <row r="255" ht="14.25" customHeight="1">
      <c r="O255" s="3"/>
    </row>
    <row r="256" ht="14.25" customHeight="1">
      <c r="O256" s="3"/>
    </row>
    <row r="257" ht="14.25" customHeight="1">
      <c r="O257" s="3"/>
    </row>
    <row r="258" ht="14.25" customHeight="1">
      <c r="O258" s="3"/>
    </row>
    <row r="259" ht="14.25" customHeight="1">
      <c r="O259" s="3"/>
    </row>
    <row r="260" ht="14.25" customHeight="1">
      <c r="O260" s="3"/>
    </row>
    <row r="261" ht="14.25" customHeight="1">
      <c r="O261" s="3"/>
    </row>
    <row r="262" ht="14.25" customHeight="1">
      <c r="O262" s="3"/>
    </row>
    <row r="263" ht="14.25" customHeight="1">
      <c r="O263" s="3"/>
    </row>
    <row r="264" ht="14.25" customHeight="1">
      <c r="O264" s="3"/>
    </row>
    <row r="265" ht="14.25" customHeight="1">
      <c r="O265" s="3"/>
    </row>
    <row r="266" ht="14.25" customHeight="1">
      <c r="O266" s="3"/>
    </row>
    <row r="267" ht="14.25" customHeight="1">
      <c r="O267" s="3"/>
    </row>
    <row r="268" ht="14.25" customHeight="1">
      <c r="O268" s="3"/>
    </row>
    <row r="269" ht="14.25" customHeight="1">
      <c r="O269" s="3"/>
    </row>
    <row r="270" ht="14.25" customHeight="1">
      <c r="O270" s="3"/>
    </row>
    <row r="271" ht="14.25" customHeight="1">
      <c r="O271" s="3"/>
    </row>
    <row r="272" ht="14.25" customHeight="1">
      <c r="O272" s="3"/>
    </row>
    <row r="273" ht="14.25" customHeight="1">
      <c r="O273" s="3"/>
    </row>
    <row r="274" ht="14.25" customHeight="1">
      <c r="O274" s="3"/>
    </row>
    <row r="275" ht="14.25" customHeight="1">
      <c r="O275" s="3"/>
    </row>
    <row r="276" ht="14.25" customHeight="1">
      <c r="O276" s="3"/>
    </row>
    <row r="277" ht="14.25" customHeight="1">
      <c r="O277" s="3"/>
    </row>
    <row r="278" ht="14.25" customHeight="1">
      <c r="O278" s="3"/>
    </row>
    <row r="279" ht="14.25" customHeight="1">
      <c r="O279" s="3"/>
    </row>
    <row r="280" ht="14.25" customHeight="1">
      <c r="O280" s="3"/>
    </row>
    <row r="281" ht="14.25" customHeight="1">
      <c r="O281" s="3"/>
    </row>
    <row r="282" ht="14.25" customHeight="1">
      <c r="O282" s="3"/>
    </row>
    <row r="283" ht="14.25" customHeight="1">
      <c r="O283" s="3"/>
    </row>
    <row r="284" ht="14.25" customHeight="1">
      <c r="O284" s="3"/>
    </row>
    <row r="285" ht="14.25" customHeight="1">
      <c r="O285" s="3"/>
    </row>
    <row r="286" ht="14.25" customHeight="1">
      <c r="O286" s="3"/>
    </row>
    <row r="287" ht="14.25" customHeight="1">
      <c r="O287" s="3"/>
    </row>
    <row r="288" ht="14.25" customHeight="1">
      <c r="O288" s="3"/>
    </row>
    <row r="289" ht="14.25" customHeight="1">
      <c r="O289" s="3"/>
    </row>
    <row r="290" ht="14.25" customHeight="1">
      <c r="O290" s="3"/>
    </row>
    <row r="291" ht="14.25" customHeight="1">
      <c r="O291" s="3"/>
    </row>
    <row r="292" ht="14.25" customHeight="1">
      <c r="O292" s="3"/>
    </row>
    <row r="293" ht="14.25" customHeight="1">
      <c r="O293" s="3"/>
    </row>
    <row r="294" ht="14.25" customHeight="1">
      <c r="O294" s="3"/>
    </row>
    <row r="295" ht="14.25" customHeight="1">
      <c r="O295" s="3"/>
    </row>
    <row r="296" ht="14.25" customHeight="1">
      <c r="O296" s="3"/>
    </row>
    <row r="297" ht="14.25" customHeight="1">
      <c r="O297" s="3"/>
    </row>
    <row r="298" ht="14.25" customHeight="1">
      <c r="O298" s="3"/>
    </row>
    <row r="299" ht="14.25" customHeight="1">
      <c r="O299" s="3"/>
    </row>
    <row r="300" ht="14.25" customHeight="1">
      <c r="O300" s="3"/>
    </row>
    <row r="301" ht="14.25" customHeight="1">
      <c r="O301" s="3"/>
    </row>
    <row r="302" ht="14.25" customHeight="1">
      <c r="O302" s="3"/>
    </row>
    <row r="303" ht="14.25" customHeight="1">
      <c r="O303" s="3"/>
    </row>
    <row r="304" ht="14.25" customHeight="1">
      <c r="O304" s="3"/>
    </row>
    <row r="305" ht="14.25" customHeight="1">
      <c r="O305" s="3"/>
    </row>
    <row r="306" ht="14.25" customHeight="1">
      <c r="O306" s="3"/>
    </row>
    <row r="307" ht="14.25" customHeight="1">
      <c r="O307" s="3"/>
    </row>
    <row r="308" ht="14.25" customHeight="1">
      <c r="O308" s="3"/>
    </row>
    <row r="309" ht="14.25" customHeight="1">
      <c r="O309" s="3"/>
    </row>
    <row r="310" ht="14.25" customHeight="1">
      <c r="O310" s="3"/>
    </row>
    <row r="311" ht="14.25" customHeight="1">
      <c r="O311" s="3"/>
    </row>
    <row r="312" ht="14.25" customHeight="1">
      <c r="O312" s="3"/>
    </row>
    <row r="313" ht="14.25" customHeight="1">
      <c r="O313" s="3"/>
    </row>
    <row r="314" ht="14.25" customHeight="1">
      <c r="O314" s="3"/>
    </row>
    <row r="315" ht="14.25" customHeight="1">
      <c r="O315" s="3"/>
    </row>
    <row r="316" ht="14.25" customHeight="1">
      <c r="O316" s="3"/>
    </row>
    <row r="317" ht="14.25" customHeight="1">
      <c r="O317" s="3"/>
    </row>
    <row r="318" ht="14.25" customHeight="1">
      <c r="O318" s="3"/>
    </row>
    <row r="319" ht="14.25" customHeight="1">
      <c r="O319" s="3"/>
    </row>
    <row r="320" ht="14.25" customHeight="1">
      <c r="O320" s="3"/>
    </row>
    <row r="321" ht="14.25" customHeight="1">
      <c r="O321" s="3"/>
    </row>
    <row r="322" ht="14.25" customHeight="1">
      <c r="O322" s="3"/>
    </row>
    <row r="323" ht="14.25" customHeight="1">
      <c r="O323" s="3"/>
    </row>
    <row r="324" ht="14.25" customHeight="1">
      <c r="O324" s="3"/>
    </row>
    <row r="325" ht="14.25" customHeight="1">
      <c r="O325" s="3"/>
    </row>
    <row r="326" ht="14.25" customHeight="1">
      <c r="O326" s="3"/>
    </row>
    <row r="327" ht="14.25" customHeight="1">
      <c r="O327" s="3"/>
    </row>
    <row r="328" ht="14.25" customHeight="1">
      <c r="O328" s="3"/>
    </row>
    <row r="329" ht="14.25" customHeight="1">
      <c r="O329" s="3"/>
    </row>
    <row r="330" ht="14.25" customHeight="1">
      <c r="O330" s="3"/>
    </row>
    <row r="331" ht="14.25" customHeight="1">
      <c r="O331" s="3"/>
    </row>
    <row r="332" ht="14.25" customHeight="1">
      <c r="O332" s="3"/>
    </row>
    <row r="333" ht="14.25" customHeight="1">
      <c r="O333" s="3"/>
    </row>
    <row r="334" ht="14.25" customHeight="1">
      <c r="O334" s="3"/>
    </row>
    <row r="335" ht="14.25" customHeight="1">
      <c r="O335" s="3"/>
    </row>
    <row r="336" ht="14.25" customHeight="1">
      <c r="O336" s="3"/>
    </row>
    <row r="337" ht="14.25" customHeight="1">
      <c r="O337" s="3"/>
    </row>
    <row r="338" ht="14.25" customHeight="1">
      <c r="O338" s="3"/>
    </row>
    <row r="339" ht="14.25" customHeight="1">
      <c r="O339" s="3"/>
    </row>
    <row r="340" ht="14.25" customHeight="1">
      <c r="O340" s="3"/>
    </row>
    <row r="341" ht="14.25" customHeight="1">
      <c r="O341" s="3"/>
    </row>
    <row r="342" ht="14.25" customHeight="1">
      <c r="O342" s="3"/>
    </row>
    <row r="343" ht="14.25" customHeight="1">
      <c r="O343" s="3"/>
    </row>
    <row r="344" ht="14.25" customHeight="1">
      <c r="O344" s="3"/>
    </row>
    <row r="345" ht="14.25" customHeight="1">
      <c r="O345" s="3"/>
    </row>
    <row r="346" ht="14.25" customHeight="1">
      <c r="O346" s="3"/>
    </row>
    <row r="347" ht="14.25" customHeight="1">
      <c r="O347" s="3"/>
    </row>
    <row r="348" ht="14.25" customHeight="1">
      <c r="O348" s="3"/>
    </row>
    <row r="349" ht="14.25" customHeight="1">
      <c r="O349" s="3"/>
    </row>
    <row r="350" ht="14.25" customHeight="1">
      <c r="O350" s="3"/>
    </row>
    <row r="351" ht="14.25" customHeight="1">
      <c r="O351" s="3"/>
    </row>
    <row r="352" ht="14.25" customHeight="1">
      <c r="O352" s="3"/>
    </row>
    <row r="353" ht="14.25" customHeight="1">
      <c r="O353" s="3"/>
    </row>
    <row r="354" ht="14.25" customHeight="1">
      <c r="O354" s="3"/>
    </row>
    <row r="355" ht="14.25" customHeight="1">
      <c r="O355" s="3"/>
    </row>
    <row r="356" ht="14.25" customHeight="1">
      <c r="O356" s="3"/>
    </row>
    <row r="357" ht="14.25" customHeight="1">
      <c r="O357" s="3"/>
    </row>
    <row r="358" ht="14.25" customHeight="1">
      <c r="O358" s="3"/>
    </row>
    <row r="359" ht="14.25" customHeight="1">
      <c r="O359" s="3"/>
    </row>
    <row r="360" ht="14.25" customHeight="1">
      <c r="O360" s="3"/>
    </row>
    <row r="361" ht="14.25" customHeight="1">
      <c r="O361" s="3"/>
    </row>
    <row r="362" ht="14.25" customHeight="1">
      <c r="O362" s="3"/>
    </row>
    <row r="363" ht="14.25" customHeight="1">
      <c r="O363" s="3"/>
    </row>
    <row r="364" ht="14.25" customHeight="1">
      <c r="O364" s="3"/>
    </row>
    <row r="365" ht="14.25" customHeight="1">
      <c r="O365" s="3"/>
    </row>
    <row r="366" ht="14.25" customHeight="1">
      <c r="O366" s="3"/>
    </row>
    <row r="367" ht="14.25" customHeight="1">
      <c r="O367" s="3"/>
    </row>
    <row r="368" ht="14.25" customHeight="1">
      <c r="O368" s="3"/>
    </row>
    <row r="369" ht="14.25" customHeight="1">
      <c r="O369" s="3"/>
    </row>
    <row r="370" ht="14.25" customHeight="1">
      <c r="O370" s="3"/>
    </row>
    <row r="371" ht="14.25" customHeight="1">
      <c r="O371" s="3"/>
    </row>
    <row r="372" ht="14.25" customHeight="1">
      <c r="O372" s="3"/>
    </row>
    <row r="373" ht="14.25" customHeight="1">
      <c r="O373" s="3"/>
    </row>
    <row r="374" ht="14.25" customHeight="1">
      <c r="O374" s="3"/>
    </row>
    <row r="375" ht="14.25" customHeight="1">
      <c r="O375" s="3"/>
    </row>
    <row r="376" ht="14.25" customHeight="1">
      <c r="O376" s="3"/>
    </row>
    <row r="377" ht="14.25" customHeight="1">
      <c r="O377" s="3"/>
    </row>
    <row r="378" ht="14.25" customHeight="1">
      <c r="O378" s="3"/>
    </row>
    <row r="379" ht="14.25" customHeight="1">
      <c r="O379" s="3"/>
    </row>
    <row r="380" ht="14.25" customHeight="1">
      <c r="O380" s="3"/>
    </row>
    <row r="381" ht="14.25" customHeight="1">
      <c r="O381" s="3"/>
    </row>
    <row r="382" ht="14.25" customHeight="1">
      <c r="O382" s="3"/>
    </row>
    <row r="383" ht="14.25" customHeight="1">
      <c r="O383" s="3"/>
    </row>
    <row r="384" ht="14.25" customHeight="1">
      <c r="O384" s="3"/>
    </row>
    <row r="385" ht="14.25" customHeight="1">
      <c r="O385" s="3"/>
    </row>
    <row r="386" ht="14.25" customHeight="1">
      <c r="O386" s="3"/>
    </row>
    <row r="387" ht="14.25" customHeight="1">
      <c r="O387" s="3"/>
    </row>
    <row r="388" ht="14.25" customHeight="1">
      <c r="O388" s="3"/>
    </row>
    <row r="389" ht="14.25" customHeight="1">
      <c r="O389" s="3"/>
    </row>
    <row r="390" ht="14.25" customHeight="1">
      <c r="O390" s="3"/>
    </row>
    <row r="391" ht="14.25" customHeight="1">
      <c r="O391" s="3"/>
    </row>
    <row r="392" ht="14.25" customHeight="1">
      <c r="O392" s="3"/>
    </row>
    <row r="393" ht="14.25" customHeight="1">
      <c r="O393" s="3"/>
    </row>
    <row r="394" ht="14.25" customHeight="1">
      <c r="O394" s="3"/>
    </row>
    <row r="395" ht="14.25" customHeight="1">
      <c r="O395" s="3"/>
    </row>
    <row r="396" ht="14.25" customHeight="1">
      <c r="O396" s="3"/>
    </row>
    <row r="397" ht="14.25" customHeight="1">
      <c r="O397" s="3"/>
    </row>
    <row r="398" ht="14.25" customHeight="1">
      <c r="O398" s="3"/>
    </row>
    <row r="399" ht="14.25" customHeight="1">
      <c r="O399" s="3"/>
    </row>
    <row r="400" ht="14.25" customHeight="1">
      <c r="O400" s="3"/>
    </row>
    <row r="401" ht="14.25" customHeight="1">
      <c r="O401" s="3"/>
    </row>
    <row r="402" ht="14.25" customHeight="1">
      <c r="O402" s="3"/>
    </row>
    <row r="403" ht="14.25" customHeight="1">
      <c r="O403" s="3"/>
    </row>
    <row r="404" ht="14.25" customHeight="1">
      <c r="O404" s="3"/>
    </row>
    <row r="405" ht="14.25" customHeight="1">
      <c r="O405" s="3"/>
    </row>
    <row r="406" ht="14.25" customHeight="1">
      <c r="O406" s="3"/>
    </row>
    <row r="407" ht="14.25" customHeight="1">
      <c r="O407" s="3"/>
    </row>
    <row r="408" ht="14.25" customHeight="1">
      <c r="O408" s="3"/>
    </row>
    <row r="409" ht="14.25" customHeight="1">
      <c r="O409" s="3"/>
    </row>
    <row r="410" ht="14.25" customHeight="1">
      <c r="O410" s="3"/>
    </row>
    <row r="411" ht="14.25" customHeight="1">
      <c r="O411" s="3"/>
    </row>
    <row r="412" ht="14.25" customHeight="1">
      <c r="O412" s="3"/>
    </row>
    <row r="413" ht="14.25" customHeight="1">
      <c r="O413" s="3"/>
    </row>
    <row r="414" ht="14.25" customHeight="1">
      <c r="O414" s="3"/>
    </row>
    <row r="415" ht="14.25" customHeight="1">
      <c r="O415" s="3"/>
    </row>
    <row r="416" ht="14.25" customHeight="1">
      <c r="O416" s="3"/>
    </row>
    <row r="417" ht="14.25" customHeight="1">
      <c r="O417" s="3"/>
    </row>
    <row r="418" ht="14.25" customHeight="1">
      <c r="O418" s="3"/>
    </row>
    <row r="419" ht="14.25" customHeight="1">
      <c r="O419" s="3"/>
    </row>
    <row r="420" ht="14.25" customHeight="1">
      <c r="O420" s="3"/>
    </row>
    <row r="421" ht="14.25" customHeight="1">
      <c r="O421" s="3"/>
    </row>
    <row r="422" ht="14.25" customHeight="1">
      <c r="O422" s="3"/>
    </row>
    <row r="423" ht="14.25" customHeight="1">
      <c r="O423" s="3"/>
    </row>
    <row r="424" ht="14.25" customHeight="1">
      <c r="O424" s="3"/>
    </row>
    <row r="425" ht="14.25" customHeight="1">
      <c r="O425" s="3"/>
    </row>
    <row r="426" ht="14.25" customHeight="1">
      <c r="O426" s="3"/>
    </row>
    <row r="427" ht="14.25" customHeight="1">
      <c r="O427" s="3"/>
    </row>
    <row r="428" ht="14.25" customHeight="1">
      <c r="O428" s="3"/>
    </row>
    <row r="429" ht="14.25" customHeight="1">
      <c r="O429" s="3"/>
    </row>
    <row r="430" ht="14.25" customHeight="1">
      <c r="O430" s="3"/>
    </row>
    <row r="431" ht="14.25" customHeight="1">
      <c r="O431" s="3"/>
    </row>
    <row r="432" ht="14.25" customHeight="1">
      <c r="O432" s="3"/>
    </row>
    <row r="433" ht="14.25" customHeight="1">
      <c r="O433" s="3"/>
    </row>
    <row r="434" ht="14.25" customHeight="1">
      <c r="O434" s="3"/>
    </row>
    <row r="435" ht="14.25" customHeight="1">
      <c r="O435" s="3"/>
    </row>
    <row r="436" ht="14.25" customHeight="1">
      <c r="O436" s="3"/>
    </row>
    <row r="437" ht="14.25" customHeight="1">
      <c r="O437" s="3"/>
    </row>
    <row r="438" ht="14.25" customHeight="1">
      <c r="O438" s="3"/>
    </row>
    <row r="439" ht="14.25" customHeight="1">
      <c r="O439" s="3"/>
    </row>
    <row r="440" ht="14.25" customHeight="1">
      <c r="O440" s="3"/>
    </row>
    <row r="441" ht="14.25" customHeight="1">
      <c r="O441" s="3"/>
    </row>
    <row r="442" ht="14.25" customHeight="1">
      <c r="O442" s="3"/>
    </row>
    <row r="443" ht="14.25" customHeight="1">
      <c r="O443" s="3"/>
    </row>
    <row r="444" ht="14.25" customHeight="1">
      <c r="O444" s="3"/>
    </row>
    <row r="445" ht="14.25" customHeight="1">
      <c r="O445" s="3"/>
    </row>
    <row r="446" ht="14.25" customHeight="1">
      <c r="O446" s="3"/>
    </row>
    <row r="447" ht="14.25" customHeight="1">
      <c r="O447" s="3"/>
    </row>
    <row r="448" ht="14.25" customHeight="1">
      <c r="O448" s="3"/>
    </row>
    <row r="449" ht="14.25" customHeight="1">
      <c r="O449" s="3"/>
    </row>
    <row r="450" ht="14.25" customHeight="1">
      <c r="O450" s="3"/>
    </row>
    <row r="451" ht="14.25" customHeight="1">
      <c r="O451" s="3"/>
    </row>
    <row r="452" ht="14.25" customHeight="1">
      <c r="O452" s="3"/>
    </row>
    <row r="453" ht="14.25" customHeight="1">
      <c r="O453" s="3"/>
    </row>
    <row r="454" ht="14.25" customHeight="1">
      <c r="O454" s="3"/>
    </row>
    <row r="455" ht="14.25" customHeight="1">
      <c r="O455" s="3"/>
    </row>
    <row r="456" ht="14.25" customHeight="1">
      <c r="O456" s="3"/>
    </row>
    <row r="457" ht="14.25" customHeight="1">
      <c r="O457" s="3"/>
    </row>
    <row r="458" ht="14.25" customHeight="1">
      <c r="O458" s="3"/>
    </row>
    <row r="459" ht="14.25" customHeight="1">
      <c r="O459" s="3"/>
    </row>
    <row r="460" ht="14.25" customHeight="1">
      <c r="O460" s="3"/>
    </row>
    <row r="461" ht="14.25" customHeight="1">
      <c r="O461" s="3"/>
    </row>
    <row r="462" ht="14.25" customHeight="1">
      <c r="O462" s="3"/>
    </row>
    <row r="463" ht="14.25" customHeight="1">
      <c r="O463" s="3"/>
    </row>
    <row r="464" ht="14.25" customHeight="1">
      <c r="O464" s="3"/>
    </row>
    <row r="465" ht="14.25" customHeight="1">
      <c r="O465" s="3"/>
    </row>
    <row r="466" ht="14.25" customHeight="1">
      <c r="O466" s="3"/>
    </row>
    <row r="467" ht="14.25" customHeight="1">
      <c r="O467" s="3"/>
    </row>
    <row r="468" ht="14.25" customHeight="1">
      <c r="O468" s="3"/>
    </row>
    <row r="469" ht="14.25" customHeight="1">
      <c r="O469" s="3"/>
    </row>
    <row r="470" ht="14.25" customHeight="1">
      <c r="O470" s="3"/>
    </row>
    <row r="471" ht="14.25" customHeight="1">
      <c r="O471" s="3"/>
    </row>
    <row r="472" ht="14.25" customHeight="1">
      <c r="O472" s="3"/>
    </row>
    <row r="473" ht="14.25" customHeight="1">
      <c r="O473" s="3"/>
    </row>
    <row r="474" ht="14.25" customHeight="1">
      <c r="O474" s="3"/>
    </row>
    <row r="475" ht="14.25" customHeight="1">
      <c r="O475" s="3"/>
    </row>
    <row r="476" ht="14.25" customHeight="1">
      <c r="O476" s="3"/>
    </row>
    <row r="477" ht="14.25" customHeight="1">
      <c r="O477" s="3"/>
    </row>
    <row r="478" ht="14.25" customHeight="1">
      <c r="O478" s="3"/>
    </row>
    <row r="479" ht="14.25" customHeight="1">
      <c r="O479" s="3"/>
    </row>
    <row r="480" ht="14.25" customHeight="1">
      <c r="O480" s="3"/>
    </row>
    <row r="481" ht="14.25" customHeight="1">
      <c r="O481" s="3"/>
    </row>
    <row r="482" ht="14.25" customHeight="1">
      <c r="O482" s="3"/>
    </row>
    <row r="483" ht="14.25" customHeight="1">
      <c r="O483" s="3"/>
    </row>
    <row r="484" ht="14.25" customHeight="1">
      <c r="O484" s="3"/>
    </row>
    <row r="485" ht="14.25" customHeight="1">
      <c r="O485" s="3"/>
    </row>
    <row r="486" ht="14.25" customHeight="1">
      <c r="O486" s="3"/>
    </row>
    <row r="487" ht="14.25" customHeight="1">
      <c r="O487" s="3"/>
    </row>
    <row r="488" ht="14.25" customHeight="1">
      <c r="O488" s="3"/>
    </row>
    <row r="489" ht="14.25" customHeight="1">
      <c r="O489" s="3"/>
    </row>
    <row r="490" ht="14.25" customHeight="1">
      <c r="O490" s="3"/>
    </row>
    <row r="491" ht="14.25" customHeight="1">
      <c r="O491" s="3"/>
    </row>
    <row r="492" ht="14.25" customHeight="1">
      <c r="O492" s="3"/>
    </row>
    <row r="493" ht="14.25" customHeight="1">
      <c r="O493" s="3"/>
    </row>
    <row r="494" ht="14.25" customHeight="1">
      <c r="O494" s="3"/>
    </row>
    <row r="495" ht="14.25" customHeight="1">
      <c r="O495" s="3"/>
    </row>
    <row r="496" ht="14.25" customHeight="1">
      <c r="O496" s="3"/>
    </row>
    <row r="497" ht="14.25" customHeight="1">
      <c r="O497" s="3"/>
    </row>
    <row r="498" ht="14.25" customHeight="1">
      <c r="O498" s="3"/>
    </row>
    <row r="499" ht="14.25" customHeight="1">
      <c r="O499" s="3"/>
    </row>
    <row r="500" ht="14.25" customHeight="1">
      <c r="O500" s="3"/>
    </row>
    <row r="501" ht="14.25" customHeight="1">
      <c r="O501" s="3"/>
    </row>
    <row r="502" ht="14.25" customHeight="1">
      <c r="O502" s="3"/>
    </row>
    <row r="503" ht="14.25" customHeight="1">
      <c r="O503" s="3"/>
    </row>
    <row r="504" ht="14.25" customHeight="1">
      <c r="O504" s="3"/>
    </row>
    <row r="505" ht="14.25" customHeight="1">
      <c r="O505" s="3"/>
    </row>
    <row r="506" ht="14.25" customHeight="1">
      <c r="O506" s="3"/>
    </row>
    <row r="507" ht="14.25" customHeight="1">
      <c r="O507" s="3"/>
    </row>
    <row r="508" ht="14.25" customHeight="1">
      <c r="O508" s="3"/>
    </row>
    <row r="509" ht="14.25" customHeight="1">
      <c r="O509" s="3"/>
    </row>
    <row r="510" ht="14.25" customHeight="1">
      <c r="O510" s="3"/>
    </row>
    <row r="511" ht="14.25" customHeight="1">
      <c r="O511" s="3"/>
    </row>
    <row r="512" ht="14.25" customHeight="1">
      <c r="O512" s="3"/>
    </row>
    <row r="513" ht="14.25" customHeight="1">
      <c r="O513" s="3"/>
    </row>
    <row r="514" ht="14.25" customHeight="1">
      <c r="O514" s="3"/>
    </row>
    <row r="515" ht="14.25" customHeight="1">
      <c r="O515" s="3"/>
    </row>
    <row r="516" ht="14.25" customHeight="1">
      <c r="O516" s="3"/>
    </row>
    <row r="517" ht="14.25" customHeight="1">
      <c r="O517" s="3"/>
    </row>
    <row r="518" ht="14.25" customHeight="1">
      <c r="O518" s="3"/>
    </row>
    <row r="519" ht="14.25" customHeight="1">
      <c r="O519" s="3"/>
    </row>
    <row r="520" ht="14.25" customHeight="1">
      <c r="O520" s="3"/>
    </row>
    <row r="521" ht="14.25" customHeight="1">
      <c r="O521" s="3"/>
    </row>
    <row r="522" ht="14.25" customHeight="1">
      <c r="O522" s="3"/>
    </row>
    <row r="523" ht="14.25" customHeight="1">
      <c r="O523" s="3"/>
    </row>
    <row r="524" ht="14.25" customHeight="1">
      <c r="O524" s="3"/>
    </row>
    <row r="525" ht="14.25" customHeight="1">
      <c r="O525" s="3"/>
    </row>
    <row r="526" ht="14.25" customHeight="1">
      <c r="O526" s="3"/>
    </row>
    <row r="527" ht="14.25" customHeight="1">
      <c r="O527" s="3"/>
    </row>
    <row r="528" ht="14.25" customHeight="1">
      <c r="O528" s="3"/>
    </row>
    <row r="529" ht="14.25" customHeight="1">
      <c r="O529" s="3"/>
    </row>
    <row r="530" ht="14.25" customHeight="1">
      <c r="O530" s="3"/>
    </row>
    <row r="531" ht="14.25" customHeight="1">
      <c r="O531" s="3"/>
    </row>
    <row r="532" ht="14.25" customHeight="1">
      <c r="O532" s="3"/>
    </row>
    <row r="533" ht="14.25" customHeight="1">
      <c r="O533" s="3"/>
    </row>
    <row r="534" ht="14.25" customHeight="1">
      <c r="O534" s="3"/>
    </row>
    <row r="535" ht="14.25" customHeight="1">
      <c r="O535" s="3"/>
    </row>
    <row r="536" ht="14.25" customHeight="1">
      <c r="O536" s="3"/>
    </row>
    <row r="537" ht="14.25" customHeight="1">
      <c r="O537" s="3"/>
    </row>
    <row r="538" ht="14.25" customHeight="1">
      <c r="O538" s="3"/>
    </row>
    <row r="539" ht="14.25" customHeight="1">
      <c r="O539" s="3"/>
    </row>
    <row r="540" ht="14.25" customHeight="1">
      <c r="O540" s="3"/>
    </row>
    <row r="541" ht="14.25" customHeight="1">
      <c r="O541" s="3"/>
    </row>
    <row r="542" ht="14.25" customHeight="1">
      <c r="O542" s="3"/>
    </row>
    <row r="543" ht="14.25" customHeight="1">
      <c r="O543" s="3"/>
    </row>
    <row r="544" ht="14.25" customHeight="1">
      <c r="O544" s="3"/>
    </row>
    <row r="545" ht="14.25" customHeight="1">
      <c r="O545" s="3"/>
    </row>
    <row r="546" ht="14.25" customHeight="1">
      <c r="O546" s="3"/>
    </row>
    <row r="547" ht="14.25" customHeight="1">
      <c r="O547" s="3"/>
    </row>
    <row r="548" ht="14.25" customHeight="1">
      <c r="O548" s="3"/>
    </row>
    <row r="549" ht="14.25" customHeight="1">
      <c r="O549" s="3"/>
    </row>
    <row r="550" ht="14.25" customHeight="1">
      <c r="O550" s="3"/>
    </row>
    <row r="551" ht="14.25" customHeight="1">
      <c r="O551" s="3"/>
    </row>
    <row r="552" ht="14.25" customHeight="1">
      <c r="O552" s="3"/>
    </row>
    <row r="553" ht="14.25" customHeight="1">
      <c r="O553" s="3"/>
    </row>
    <row r="554" ht="14.25" customHeight="1">
      <c r="O554" s="3"/>
    </row>
    <row r="555" ht="14.25" customHeight="1">
      <c r="O555" s="3"/>
    </row>
    <row r="556" ht="14.25" customHeight="1">
      <c r="O556" s="3"/>
    </row>
    <row r="557" ht="14.25" customHeight="1">
      <c r="O557" s="3"/>
    </row>
    <row r="558" ht="14.25" customHeight="1">
      <c r="O558" s="3"/>
    </row>
    <row r="559" ht="14.25" customHeight="1">
      <c r="O559" s="3"/>
    </row>
    <row r="560" ht="14.25" customHeight="1">
      <c r="O560" s="3"/>
    </row>
    <row r="561" ht="14.25" customHeight="1">
      <c r="O561" s="3"/>
    </row>
    <row r="562" ht="14.25" customHeight="1">
      <c r="O562" s="3"/>
    </row>
    <row r="563" ht="14.25" customHeight="1">
      <c r="O563" s="3"/>
    </row>
    <row r="564" ht="14.25" customHeight="1">
      <c r="O564" s="3"/>
    </row>
    <row r="565" ht="14.25" customHeight="1">
      <c r="O565" s="3"/>
    </row>
    <row r="566" ht="14.25" customHeight="1">
      <c r="O566" s="3"/>
    </row>
    <row r="567" ht="14.25" customHeight="1">
      <c r="O567" s="3"/>
    </row>
    <row r="568" ht="14.25" customHeight="1">
      <c r="O568" s="3"/>
    </row>
    <row r="569" ht="14.25" customHeight="1">
      <c r="O569" s="3"/>
    </row>
    <row r="570" ht="14.25" customHeight="1">
      <c r="O570" s="3"/>
    </row>
    <row r="571" ht="14.25" customHeight="1">
      <c r="O571" s="3"/>
    </row>
    <row r="572" ht="14.25" customHeight="1">
      <c r="O572" s="3"/>
    </row>
    <row r="573" ht="14.25" customHeight="1">
      <c r="O573" s="3"/>
    </row>
    <row r="574" ht="14.25" customHeight="1">
      <c r="O574" s="3"/>
    </row>
    <row r="575" ht="14.25" customHeight="1">
      <c r="O575" s="3"/>
    </row>
    <row r="576" ht="14.25" customHeight="1">
      <c r="O576" s="3"/>
    </row>
    <row r="577" ht="14.25" customHeight="1">
      <c r="O577" s="3"/>
    </row>
    <row r="578" ht="14.25" customHeight="1">
      <c r="O578" s="3"/>
    </row>
    <row r="579" ht="14.25" customHeight="1">
      <c r="O579" s="3"/>
    </row>
    <row r="580" ht="14.25" customHeight="1">
      <c r="O580" s="3"/>
    </row>
    <row r="581" ht="14.25" customHeight="1">
      <c r="O581" s="3"/>
    </row>
    <row r="582" ht="14.25" customHeight="1">
      <c r="O582" s="3"/>
    </row>
    <row r="583" ht="14.25" customHeight="1">
      <c r="O583" s="3"/>
    </row>
    <row r="584" ht="14.25" customHeight="1">
      <c r="O584" s="3"/>
    </row>
    <row r="585" ht="14.25" customHeight="1">
      <c r="O585" s="3"/>
    </row>
    <row r="586" ht="14.25" customHeight="1">
      <c r="O586" s="3"/>
    </row>
    <row r="587" ht="14.25" customHeight="1">
      <c r="O587" s="3"/>
    </row>
    <row r="588" ht="14.25" customHeight="1">
      <c r="O588" s="3"/>
    </row>
    <row r="589" ht="14.25" customHeight="1">
      <c r="O589" s="3"/>
    </row>
    <row r="590" ht="14.25" customHeight="1">
      <c r="O590" s="3"/>
    </row>
    <row r="591" ht="14.25" customHeight="1">
      <c r="O591" s="3"/>
    </row>
    <row r="592" ht="14.25" customHeight="1">
      <c r="O592" s="3"/>
    </row>
    <row r="593" ht="14.25" customHeight="1">
      <c r="O593" s="3"/>
    </row>
    <row r="594" ht="14.25" customHeight="1">
      <c r="O594" s="3"/>
    </row>
    <row r="595" ht="14.25" customHeight="1">
      <c r="O595" s="3"/>
    </row>
    <row r="596" ht="14.25" customHeight="1">
      <c r="O596" s="3"/>
    </row>
    <row r="597" ht="14.25" customHeight="1">
      <c r="O597" s="3"/>
    </row>
    <row r="598" ht="14.25" customHeight="1">
      <c r="O598" s="3"/>
    </row>
    <row r="599" ht="14.25" customHeight="1">
      <c r="O599" s="3"/>
    </row>
    <row r="600" ht="14.25" customHeight="1">
      <c r="O600" s="3"/>
    </row>
    <row r="601" ht="14.25" customHeight="1">
      <c r="O601" s="3"/>
    </row>
    <row r="602" ht="14.25" customHeight="1">
      <c r="O602" s="3"/>
    </row>
    <row r="603" ht="14.25" customHeight="1">
      <c r="O603" s="3"/>
    </row>
    <row r="604" ht="14.25" customHeight="1">
      <c r="O604" s="3"/>
    </row>
    <row r="605" ht="14.25" customHeight="1">
      <c r="O605" s="3"/>
    </row>
    <row r="606" ht="14.25" customHeight="1">
      <c r="O606" s="3"/>
    </row>
    <row r="607" ht="14.25" customHeight="1">
      <c r="O607" s="3"/>
    </row>
    <row r="608" ht="14.25" customHeight="1">
      <c r="O608" s="3"/>
    </row>
    <row r="609" ht="14.25" customHeight="1">
      <c r="O609" s="3"/>
    </row>
    <row r="610" ht="14.25" customHeight="1">
      <c r="O610" s="3"/>
    </row>
    <row r="611" ht="14.25" customHeight="1">
      <c r="O611" s="3"/>
    </row>
    <row r="612" ht="14.25" customHeight="1">
      <c r="O612" s="3"/>
    </row>
    <row r="613" ht="14.25" customHeight="1">
      <c r="O613" s="3"/>
    </row>
    <row r="614" ht="14.25" customHeight="1">
      <c r="O614" s="3"/>
    </row>
    <row r="615" ht="14.25" customHeight="1">
      <c r="O615" s="3"/>
    </row>
    <row r="616" ht="14.25" customHeight="1">
      <c r="O616" s="3"/>
    </row>
    <row r="617" ht="14.25" customHeight="1">
      <c r="O617" s="3"/>
    </row>
    <row r="618" ht="14.25" customHeight="1">
      <c r="O618" s="3"/>
    </row>
    <row r="619" ht="14.25" customHeight="1">
      <c r="O619" s="3"/>
    </row>
    <row r="620" ht="14.25" customHeight="1">
      <c r="O620" s="3"/>
    </row>
    <row r="621" ht="14.25" customHeight="1">
      <c r="O621" s="3"/>
    </row>
    <row r="622" ht="14.25" customHeight="1">
      <c r="O622" s="3"/>
    </row>
    <row r="623" ht="14.25" customHeight="1">
      <c r="O623" s="3"/>
    </row>
    <row r="624" ht="14.25" customHeight="1">
      <c r="O624" s="3"/>
    </row>
    <row r="625" ht="14.25" customHeight="1">
      <c r="O625" s="3"/>
    </row>
    <row r="626" ht="14.25" customHeight="1">
      <c r="O626" s="3"/>
    </row>
    <row r="627" ht="14.25" customHeight="1">
      <c r="O627" s="3"/>
    </row>
    <row r="628" ht="14.25" customHeight="1">
      <c r="O628" s="3"/>
    </row>
    <row r="629" ht="14.25" customHeight="1">
      <c r="O629" s="3"/>
    </row>
    <row r="630" ht="14.25" customHeight="1">
      <c r="O630" s="3"/>
    </row>
    <row r="631" ht="14.25" customHeight="1">
      <c r="O631" s="3"/>
    </row>
    <row r="632" ht="14.25" customHeight="1">
      <c r="O632" s="3"/>
    </row>
    <row r="633" ht="14.25" customHeight="1">
      <c r="O633" s="3"/>
    </row>
    <row r="634" ht="14.25" customHeight="1">
      <c r="O634" s="3"/>
    </row>
    <row r="635" ht="14.25" customHeight="1">
      <c r="O635" s="3"/>
    </row>
    <row r="636" ht="14.25" customHeight="1">
      <c r="O636" s="3"/>
    </row>
    <row r="637" ht="14.25" customHeight="1">
      <c r="O637" s="3"/>
    </row>
    <row r="638" ht="14.25" customHeight="1">
      <c r="O638" s="3"/>
    </row>
    <row r="639" ht="14.25" customHeight="1">
      <c r="O639" s="3"/>
    </row>
    <row r="640" ht="14.25" customHeight="1">
      <c r="O640" s="3"/>
    </row>
    <row r="641" ht="14.25" customHeight="1">
      <c r="O641" s="3"/>
    </row>
    <row r="642" ht="14.25" customHeight="1">
      <c r="O642" s="3"/>
    </row>
    <row r="643" ht="14.25" customHeight="1">
      <c r="O643" s="3"/>
    </row>
    <row r="644" ht="14.25" customHeight="1">
      <c r="O644" s="3"/>
    </row>
    <row r="645" ht="14.25" customHeight="1">
      <c r="O645" s="3"/>
    </row>
    <row r="646" ht="14.25" customHeight="1">
      <c r="O646" s="3"/>
    </row>
    <row r="647" ht="14.25" customHeight="1">
      <c r="O647" s="3"/>
    </row>
    <row r="648" ht="14.25" customHeight="1">
      <c r="O648" s="3"/>
    </row>
    <row r="649" ht="14.25" customHeight="1">
      <c r="O649" s="3"/>
    </row>
    <row r="650" ht="14.25" customHeight="1">
      <c r="O650" s="3"/>
    </row>
    <row r="651" ht="14.25" customHeight="1">
      <c r="O651" s="3"/>
    </row>
    <row r="652" ht="14.25" customHeight="1">
      <c r="O652" s="3"/>
    </row>
    <row r="653" ht="14.25" customHeight="1">
      <c r="O653" s="3"/>
    </row>
    <row r="654" ht="14.25" customHeight="1">
      <c r="O654" s="3"/>
    </row>
    <row r="655" ht="14.25" customHeight="1">
      <c r="O655" s="3"/>
    </row>
    <row r="656" ht="14.25" customHeight="1">
      <c r="O656" s="3"/>
    </row>
    <row r="657" ht="14.25" customHeight="1">
      <c r="O657" s="3"/>
    </row>
    <row r="658" ht="14.25" customHeight="1">
      <c r="O658" s="3"/>
    </row>
    <row r="659" ht="14.25" customHeight="1">
      <c r="O659" s="3"/>
    </row>
    <row r="660" ht="14.25" customHeight="1">
      <c r="O660" s="3"/>
    </row>
    <row r="661" ht="14.25" customHeight="1">
      <c r="O661" s="3"/>
    </row>
    <row r="662" ht="14.25" customHeight="1">
      <c r="O662" s="3"/>
    </row>
    <row r="663" ht="14.25" customHeight="1">
      <c r="O663" s="3"/>
    </row>
    <row r="664" ht="14.25" customHeight="1">
      <c r="O664" s="3"/>
    </row>
    <row r="665" ht="14.25" customHeight="1">
      <c r="O665" s="3"/>
    </row>
    <row r="666" ht="14.25" customHeight="1">
      <c r="O666" s="3"/>
    </row>
    <row r="667" ht="14.25" customHeight="1">
      <c r="O667" s="3"/>
    </row>
    <row r="668" ht="14.25" customHeight="1">
      <c r="O668" s="3"/>
    </row>
    <row r="669" ht="14.25" customHeight="1">
      <c r="O669" s="3"/>
    </row>
    <row r="670" ht="14.25" customHeight="1">
      <c r="O670" s="3"/>
    </row>
    <row r="671" ht="14.25" customHeight="1">
      <c r="O671" s="3"/>
    </row>
    <row r="672" ht="14.25" customHeight="1">
      <c r="O672" s="3"/>
    </row>
    <row r="673" ht="14.25" customHeight="1">
      <c r="O673" s="3"/>
    </row>
    <row r="674" ht="14.25" customHeight="1">
      <c r="O674" s="3"/>
    </row>
    <row r="675" ht="14.25" customHeight="1">
      <c r="O675" s="3"/>
    </row>
    <row r="676" ht="14.25" customHeight="1">
      <c r="O676" s="3"/>
    </row>
    <row r="677" ht="14.25" customHeight="1">
      <c r="O677" s="3"/>
    </row>
    <row r="678" ht="14.25" customHeight="1">
      <c r="O678" s="3"/>
    </row>
    <row r="679" ht="14.25" customHeight="1">
      <c r="O679" s="3"/>
    </row>
    <row r="680" ht="14.25" customHeight="1">
      <c r="O680" s="3"/>
    </row>
    <row r="681" ht="14.25" customHeight="1">
      <c r="O681" s="3"/>
    </row>
    <row r="682" ht="14.25" customHeight="1">
      <c r="O682" s="3"/>
    </row>
    <row r="683" ht="14.25" customHeight="1">
      <c r="O683" s="3"/>
    </row>
    <row r="684" ht="14.25" customHeight="1">
      <c r="O684" s="3"/>
    </row>
    <row r="685" ht="14.25" customHeight="1">
      <c r="O685" s="3"/>
    </row>
    <row r="686" ht="14.25" customHeight="1">
      <c r="O686" s="3"/>
    </row>
    <row r="687" ht="14.25" customHeight="1">
      <c r="O687" s="3"/>
    </row>
    <row r="688" ht="14.25" customHeight="1">
      <c r="O688" s="3"/>
    </row>
    <row r="689" ht="14.25" customHeight="1">
      <c r="O689" s="3"/>
    </row>
    <row r="690" ht="14.25" customHeight="1">
      <c r="O690" s="3"/>
    </row>
    <row r="691" ht="14.25" customHeight="1">
      <c r="O691" s="3"/>
    </row>
    <row r="692" ht="14.25" customHeight="1">
      <c r="O692" s="3"/>
    </row>
    <row r="693" ht="14.25" customHeight="1">
      <c r="O693" s="3"/>
    </row>
    <row r="694" ht="14.25" customHeight="1">
      <c r="O694" s="3"/>
    </row>
    <row r="695" ht="14.25" customHeight="1">
      <c r="O695" s="3"/>
    </row>
    <row r="696" ht="14.25" customHeight="1">
      <c r="O696" s="3"/>
    </row>
    <row r="697" ht="14.25" customHeight="1">
      <c r="O697" s="3"/>
    </row>
    <row r="698" ht="14.25" customHeight="1">
      <c r="O698" s="3"/>
    </row>
    <row r="699" ht="14.25" customHeight="1">
      <c r="O699" s="3"/>
    </row>
    <row r="700" ht="14.25" customHeight="1">
      <c r="O700" s="3"/>
    </row>
    <row r="701" ht="14.25" customHeight="1">
      <c r="O701" s="3"/>
    </row>
    <row r="702" ht="14.25" customHeight="1">
      <c r="O702" s="3"/>
    </row>
    <row r="703" ht="14.25" customHeight="1">
      <c r="O703" s="3"/>
    </row>
    <row r="704" ht="14.25" customHeight="1">
      <c r="O704" s="3"/>
    </row>
    <row r="705" ht="14.25" customHeight="1">
      <c r="O705" s="3"/>
    </row>
    <row r="706" ht="14.25" customHeight="1">
      <c r="O706" s="3"/>
    </row>
    <row r="707" ht="14.25" customHeight="1">
      <c r="O707" s="3"/>
    </row>
    <row r="708" ht="14.25" customHeight="1">
      <c r="O708" s="3"/>
    </row>
    <row r="709" ht="14.25" customHeight="1">
      <c r="O709" s="3"/>
    </row>
    <row r="710" ht="14.25" customHeight="1">
      <c r="O710" s="3"/>
    </row>
    <row r="711" ht="14.25" customHeight="1">
      <c r="O711" s="3"/>
    </row>
    <row r="712" ht="14.25" customHeight="1">
      <c r="O712" s="3"/>
    </row>
    <row r="713" ht="14.25" customHeight="1">
      <c r="O713" s="3"/>
    </row>
    <row r="714" ht="14.25" customHeight="1">
      <c r="O714" s="3"/>
    </row>
    <row r="715" ht="14.25" customHeight="1">
      <c r="O715" s="3"/>
    </row>
    <row r="716" ht="14.25" customHeight="1">
      <c r="O716" s="3"/>
    </row>
    <row r="717" ht="14.25" customHeight="1">
      <c r="O717" s="3"/>
    </row>
    <row r="718" ht="14.25" customHeight="1">
      <c r="O718" s="3"/>
    </row>
    <row r="719" ht="14.25" customHeight="1">
      <c r="O719" s="3"/>
    </row>
    <row r="720" ht="14.25" customHeight="1">
      <c r="O720" s="3"/>
    </row>
    <row r="721" ht="14.25" customHeight="1">
      <c r="O721" s="3"/>
    </row>
    <row r="722" ht="14.25" customHeight="1">
      <c r="O722" s="3"/>
    </row>
    <row r="723" ht="14.25" customHeight="1">
      <c r="O723" s="3"/>
    </row>
    <row r="724" ht="14.25" customHeight="1">
      <c r="O724" s="3"/>
    </row>
    <row r="725" ht="14.25" customHeight="1">
      <c r="O725" s="3"/>
    </row>
    <row r="726" ht="14.25" customHeight="1">
      <c r="O726" s="3"/>
    </row>
    <row r="727" ht="14.25" customHeight="1">
      <c r="O727" s="3"/>
    </row>
    <row r="728" ht="14.25" customHeight="1">
      <c r="O728" s="3"/>
    </row>
    <row r="729" ht="14.25" customHeight="1">
      <c r="O729" s="3"/>
    </row>
    <row r="730" ht="14.25" customHeight="1">
      <c r="O730" s="3"/>
    </row>
    <row r="731" ht="14.25" customHeight="1">
      <c r="O731" s="3"/>
    </row>
    <row r="732" ht="14.25" customHeight="1">
      <c r="O732" s="3"/>
    </row>
    <row r="733" ht="14.25" customHeight="1">
      <c r="O733" s="3"/>
    </row>
    <row r="734" ht="14.25" customHeight="1">
      <c r="O734" s="3"/>
    </row>
    <row r="735" ht="14.25" customHeight="1">
      <c r="O735" s="3"/>
    </row>
    <row r="736" ht="14.25" customHeight="1">
      <c r="O736" s="3"/>
    </row>
    <row r="737" ht="14.25" customHeight="1">
      <c r="O737" s="3"/>
    </row>
    <row r="738" ht="14.25" customHeight="1">
      <c r="O738" s="3"/>
    </row>
    <row r="739" ht="14.25" customHeight="1">
      <c r="O739" s="3"/>
    </row>
    <row r="740" ht="14.25" customHeight="1">
      <c r="O740" s="3"/>
    </row>
    <row r="741" ht="14.25" customHeight="1">
      <c r="O741" s="3"/>
    </row>
    <row r="742" ht="14.25" customHeight="1">
      <c r="O742" s="3"/>
    </row>
    <row r="743" ht="14.25" customHeight="1">
      <c r="O743" s="3"/>
    </row>
    <row r="744" ht="14.25" customHeight="1">
      <c r="O744" s="3"/>
    </row>
    <row r="745" ht="14.25" customHeight="1">
      <c r="O745" s="3"/>
    </row>
    <row r="746" ht="14.25" customHeight="1">
      <c r="O746" s="3"/>
    </row>
    <row r="747" ht="14.25" customHeight="1">
      <c r="O747" s="3"/>
    </row>
    <row r="748" ht="14.25" customHeight="1">
      <c r="O748" s="3"/>
    </row>
    <row r="749" ht="14.25" customHeight="1">
      <c r="O749" s="3"/>
    </row>
    <row r="750" ht="14.25" customHeight="1">
      <c r="O750" s="3"/>
    </row>
    <row r="751" ht="14.25" customHeight="1">
      <c r="O751" s="3"/>
    </row>
    <row r="752" ht="14.25" customHeight="1">
      <c r="O752" s="3"/>
    </row>
    <row r="753" ht="14.25" customHeight="1">
      <c r="O753" s="3"/>
    </row>
    <row r="754" ht="14.25" customHeight="1">
      <c r="O754" s="3"/>
    </row>
    <row r="755" ht="14.25" customHeight="1">
      <c r="O755" s="3"/>
    </row>
    <row r="756" ht="14.25" customHeight="1">
      <c r="O756" s="3"/>
    </row>
    <row r="757" ht="14.25" customHeight="1">
      <c r="O757" s="3"/>
    </row>
    <row r="758" ht="14.25" customHeight="1">
      <c r="O758" s="3"/>
    </row>
    <row r="759" ht="14.25" customHeight="1">
      <c r="O759" s="3"/>
    </row>
    <row r="760" ht="14.25" customHeight="1">
      <c r="O760" s="3"/>
    </row>
    <row r="761" ht="14.25" customHeight="1">
      <c r="O761" s="3"/>
    </row>
    <row r="762" ht="14.25" customHeight="1">
      <c r="O762" s="3"/>
    </row>
    <row r="763" ht="14.25" customHeight="1">
      <c r="O763" s="3"/>
    </row>
    <row r="764" ht="14.25" customHeight="1">
      <c r="O764" s="3"/>
    </row>
    <row r="765" ht="14.25" customHeight="1">
      <c r="O765" s="3"/>
    </row>
    <row r="766" ht="14.25" customHeight="1">
      <c r="O766" s="3"/>
    </row>
    <row r="767" ht="14.25" customHeight="1">
      <c r="O767" s="3"/>
    </row>
    <row r="768" ht="14.25" customHeight="1">
      <c r="O768" s="3"/>
    </row>
    <row r="769" ht="14.25" customHeight="1">
      <c r="O769" s="3"/>
    </row>
    <row r="770" ht="14.25" customHeight="1">
      <c r="O770" s="3"/>
    </row>
    <row r="771" ht="14.25" customHeight="1">
      <c r="O771" s="3"/>
    </row>
    <row r="772" ht="14.25" customHeight="1">
      <c r="O772" s="3"/>
    </row>
    <row r="773" ht="14.25" customHeight="1">
      <c r="O773" s="3"/>
    </row>
    <row r="774" ht="14.25" customHeight="1">
      <c r="O774" s="3"/>
    </row>
    <row r="775" ht="14.25" customHeight="1">
      <c r="O775" s="3"/>
    </row>
    <row r="776" ht="14.25" customHeight="1">
      <c r="O776" s="3"/>
    </row>
    <row r="777" ht="14.25" customHeight="1">
      <c r="O777" s="3"/>
    </row>
    <row r="778" ht="14.25" customHeight="1">
      <c r="O778" s="3"/>
    </row>
    <row r="779" ht="14.25" customHeight="1">
      <c r="O779" s="3"/>
    </row>
    <row r="780" ht="14.25" customHeight="1">
      <c r="O780" s="3"/>
    </row>
    <row r="781" ht="14.25" customHeight="1">
      <c r="O781" s="3"/>
    </row>
    <row r="782" ht="14.25" customHeight="1">
      <c r="O782" s="3"/>
    </row>
    <row r="783" ht="14.25" customHeight="1">
      <c r="O783" s="3"/>
    </row>
    <row r="784" ht="14.25" customHeight="1">
      <c r="O784" s="3"/>
    </row>
    <row r="785" ht="14.25" customHeight="1">
      <c r="O785" s="3"/>
    </row>
    <row r="786" ht="14.25" customHeight="1">
      <c r="O786" s="3"/>
    </row>
    <row r="787" ht="14.25" customHeight="1">
      <c r="O787" s="3"/>
    </row>
    <row r="788" ht="14.25" customHeight="1">
      <c r="O788" s="3"/>
    </row>
    <row r="789" ht="14.25" customHeight="1">
      <c r="O789" s="3"/>
    </row>
    <row r="790" ht="14.25" customHeight="1">
      <c r="O790" s="3"/>
    </row>
    <row r="791" ht="14.25" customHeight="1">
      <c r="O791" s="3"/>
    </row>
    <row r="792" ht="14.25" customHeight="1">
      <c r="O792" s="3"/>
    </row>
    <row r="793" ht="14.25" customHeight="1">
      <c r="O793" s="3"/>
    </row>
    <row r="794" ht="14.25" customHeight="1">
      <c r="O794" s="3"/>
    </row>
    <row r="795" ht="14.25" customHeight="1">
      <c r="O795" s="3"/>
    </row>
    <row r="796" ht="14.25" customHeight="1">
      <c r="O796" s="3"/>
    </row>
    <row r="797" ht="14.25" customHeight="1">
      <c r="O797" s="3"/>
    </row>
    <row r="798" ht="14.25" customHeight="1">
      <c r="O798" s="3"/>
    </row>
    <row r="799" ht="14.25" customHeight="1">
      <c r="O799" s="3"/>
    </row>
    <row r="800" ht="14.25" customHeight="1">
      <c r="O800" s="3"/>
    </row>
    <row r="801" ht="14.25" customHeight="1">
      <c r="O801" s="3"/>
    </row>
    <row r="802" ht="14.25" customHeight="1">
      <c r="O802" s="3"/>
    </row>
    <row r="803" ht="14.25" customHeight="1">
      <c r="O803" s="3"/>
    </row>
    <row r="804" ht="14.25" customHeight="1">
      <c r="O804" s="3"/>
    </row>
    <row r="805" ht="14.25" customHeight="1">
      <c r="O805" s="3"/>
    </row>
    <row r="806" ht="14.25" customHeight="1">
      <c r="O806" s="3"/>
    </row>
    <row r="807" ht="14.25" customHeight="1">
      <c r="O807" s="3"/>
    </row>
    <row r="808" ht="14.25" customHeight="1">
      <c r="O808" s="3"/>
    </row>
    <row r="809" ht="14.25" customHeight="1">
      <c r="O809" s="3"/>
    </row>
    <row r="810" ht="14.25" customHeight="1">
      <c r="O810" s="3"/>
    </row>
    <row r="811" ht="14.25" customHeight="1">
      <c r="O811" s="3"/>
    </row>
    <row r="812" ht="14.25" customHeight="1">
      <c r="O812" s="3"/>
    </row>
    <row r="813" ht="14.25" customHeight="1">
      <c r="O813" s="3"/>
    </row>
    <row r="814" ht="14.25" customHeight="1">
      <c r="O814" s="3"/>
    </row>
    <row r="815" ht="14.25" customHeight="1">
      <c r="O815" s="3"/>
    </row>
    <row r="816" ht="14.25" customHeight="1">
      <c r="O816" s="3"/>
    </row>
    <row r="817" ht="14.25" customHeight="1">
      <c r="O817" s="3"/>
    </row>
    <row r="818" ht="14.25" customHeight="1">
      <c r="O818" s="3"/>
    </row>
    <row r="819" ht="14.25" customHeight="1">
      <c r="O819" s="3"/>
    </row>
    <row r="820" ht="14.25" customHeight="1">
      <c r="O820" s="3"/>
    </row>
    <row r="821" ht="14.25" customHeight="1">
      <c r="O821" s="3"/>
    </row>
    <row r="822" ht="14.25" customHeight="1">
      <c r="O822" s="3"/>
    </row>
    <row r="823" ht="14.25" customHeight="1">
      <c r="O823" s="3"/>
    </row>
    <row r="824" ht="14.25" customHeight="1">
      <c r="O824" s="3"/>
    </row>
    <row r="825" ht="14.25" customHeight="1">
      <c r="O825" s="3"/>
    </row>
    <row r="826" ht="14.25" customHeight="1">
      <c r="O826" s="3"/>
    </row>
    <row r="827" ht="14.25" customHeight="1">
      <c r="O827" s="3"/>
    </row>
    <row r="828" ht="14.25" customHeight="1">
      <c r="O828" s="3"/>
    </row>
    <row r="829" ht="14.25" customHeight="1">
      <c r="O829" s="3"/>
    </row>
    <row r="830" ht="14.25" customHeight="1">
      <c r="O830" s="3"/>
    </row>
    <row r="831" ht="14.25" customHeight="1">
      <c r="O831" s="3"/>
    </row>
    <row r="832" ht="14.25" customHeight="1">
      <c r="O832" s="3"/>
    </row>
    <row r="833" ht="14.25" customHeight="1">
      <c r="O833" s="3"/>
    </row>
    <row r="834" ht="14.25" customHeight="1">
      <c r="O834" s="3"/>
    </row>
    <row r="835" ht="14.25" customHeight="1">
      <c r="O835" s="3"/>
    </row>
    <row r="836" ht="14.25" customHeight="1">
      <c r="O836" s="3"/>
    </row>
    <row r="837" ht="14.25" customHeight="1">
      <c r="O837" s="3"/>
    </row>
    <row r="838" ht="14.25" customHeight="1">
      <c r="O838" s="3"/>
    </row>
    <row r="839" ht="14.25" customHeight="1">
      <c r="O839" s="3"/>
    </row>
    <row r="840" ht="14.25" customHeight="1">
      <c r="O840" s="3"/>
    </row>
    <row r="841" ht="14.25" customHeight="1">
      <c r="O841" s="3"/>
    </row>
    <row r="842" ht="14.25" customHeight="1">
      <c r="O842" s="3"/>
    </row>
    <row r="843" ht="14.25" customHeight="1">
      <c r="O843" s="3"/>
    </row>
    <row r="844" ht="14.25" customHeight="1">
      <c r="O844" s="3"/>
    </row>
    <row r="845" ht="14.25" customHeight="1">
      <c r="O845" s="3"/>
    </row>
    <row r="846" ht="14.25" customHeight="1">
      <c r="O846" s="3"/>
    </row>
    <row r="847" ht="14.25" customHeight="1">
      <c r="O847" s="3"/>
    </row>
    <row r="848" ht="14.25" customHeight="1">
      <c r="O848" s="3"/>
    </row>
    <row r="849" ht="14.25" customHeight="1">
      <c r="O849" s="3"/>
    </row>
    <row r="850" ht="14.25" customHeight="1">
      <c r="O850" s="3"/>
    </row>
    <row r="851" ht="14.25" customHeight="1">
      <c r="O851" s="3"/>
    </row>
    <row r="852" ht="14.25" customHeight="1">
      <c r="O852" s="3"/>
    </row>
    <row r="853" ht="14.25" customHeight="1">
      <c r="O853" s="3"/>
    </row>
    <row r="854" ht="14.25" customHeight="1">
      <c r="O854" s="3"/>
    </row>
    <row r="855" ht="14.25" customHeight="1">
      <c r="O855" s="3"/>
    </row>
    <row r="856" ht="14.25" customHeight="1">
      <c r="O856" s="3"/>
    </row>
    <row r="857" ht="14.25" customHeight="1">
      <c r="O857" s="3"/>
    </row>
    <row r="858" ht="14.25" customHeight="1">
      <c r="O858" s="3"/>
    </row>
    <row r="859" ht="14.25" customHeight="1">
      <c r="O859" s="3"/>
    </row>
    <row r="860" ht="14.25" customHeight="1">
      <c r="O860" s="3"/>
    </row>
    <row r="861" ht="14.25" customHeight="1">
      <c r="O861" s="3"/>
    </row>
    <row r="862" ht="14.25" customHeight="1">
      <c r="O862" s="3"/>
    </row>
    <row r="863" ht="14.25" customHeight="1">
      <c r="O863" s="3"/>
    </row>
    <row r="864" ht="14.25" customHeight="1">
      <c r="O864" s="3"/>
    </row>
    <row r="865" ht="14.25" customHeight="1">
      <c r="O865" s="3"/>
    </row>
    <row r="866" ht="14.25" customHeight="1">
      <c r="O866" s="3"/>
    </row>
    <row r="867" ht="14.25" customHeight="1">
      <c r="O867" s="3"/>
    </row>
    <row r="868" ht="14.25" customHeight="1">
      <c r="O868" s="3"/>
    </row>
    <row r="869" ht="14.25" customHeight="1">
      <c r="O869" s="3"/>
    </row>
    <row r="870" ht="14.25" customHeight="1">
      <c r="O870" s="3"/>
    </row>
    <row r="871" ht="14.25" customHeight="1">
      <c r="O871" s="3"/>
    </row>
    <row r="872" ht="14.25" customHeight="1">
      <c r="O872" s="3"/>
    </row>
    <row r="873" ht="14.25" customHeight="1">
      <c r="O873" s="3"/>
    </row>
    <row r="874" ht="14.25" customHeight="1">
      <c r="O874" s="3"/>
    </row>
    <row r="875" ht="14.25" customHeight="1">
      <c r="O875" s="3"/>
    </row>
    <row r="876" ht="14.25" customHeight="1">
      <c r="O876" s="3"/>
    </row>
    <row r="877" ht="14.25" customHeight="1">
      <c r="O877" s="3"/>
    </row>
    <row r="878" ht="14.25" customHeight="1">
      <c r="O878" s="3"/>
    </row>
    <row r="879" ht="14.25" customHeight="1">
      <c r="O879" s="3"/>
    </row>
    <row r="880" ht="14.25" customHeight="1">
      <c r="O880" s="3"/>
    </row>
    <row r="881" ht="14.25" customHeight="1">
      <c r="O881" s="3"/>
    </row>
    <row r="882" ht="14.25" customHeight="1">
      <c r="O882" s="3"/>
    </row>
    <row r="883" ht="14.25" customHeight="1">
      <c r="O883" s="3"/>
    </row>
    <row r="884" ht="14.25" customHeight="1">
      <c r="O884" s="3"/>
    </row>
    <row r="885" ht="14.25" customHeight="1">
      <c r="O885" s="3"/>
    </row>
    <row r="886" ht="14.25" customHeight="1">
      <c r="O886" s="3"/>
    </row>
    <row r="887" ht="14.25" customHeight="1">
      <c r="O887" s="3"/>
    </row>
    <row r="888" ht="14.25" customHeight="1">
      <c r="O888" s="3"/>
    </row>
    <row r="889" ht="14.25" customHeight="1">
      <c r="O889" s="3"/>
    </row>
    <row r="890" ht="14.25" customHeight="1">
      <c r="O890" s="3"/>
    </row>
    <row r="891" ht="14.25" customHeight="1">
      <c r="O891" s="3"/>
    </row>
    <row r="892" ht="14.25" customHeight="1">
      <c r="O892" s="3"/>
    </row>
    <row r="893" ht="14.25" customHeight="1">
      <c r="O893" s="3"/>
    </row>
    <row r="894" ht="14.25" customHeight="1">
      <c r="O894" s="3"/>
    </row>
    <row r="895" ht="14.25" customHeight="1">
      <c r="O895" s="3"/>
    </row>
    <row r="896" ht="14.25" customHeight="1">
      <c r="O896" s="3"/>
    </row>
    <row r="897" ht="14.25" customHeight="1">
      <c r="O897" s="3"/>
    </row>
    <row r="898" ht="14.25" customHeight="1">
      <c r="O898" s="3"/>
    </row>
    <row r="899" ht="14.25" customHeight="1">
      <c r="O899" s="3"/>
    </row>
    <row r="900" ht="14.25" customHeight="1">
      <c r="O900" s="3"/>
    </row>
    <row r="901" ht="14.25" customHeight="1">
      <c r="O901" s="3"/>
    </row>
    <row r="902" ht="14.25" customHeight="1">
      <c r="O902" s="3"/>
    </row>
    <row r="903" ht="14.25" customHeight="1">
      <c r="O903" s="3"/>
    </row>
    <row r="904" ht="14.25" customHeight="1">
      <c r="O904" s="3"/>
    </row>
    <row r="905" ht="14.25" customHeight="1">
      <c r="O905" s="3"/>
    </row>
    <row r="906" ht="14.25" customHeight="1">
      <c r="O906" s="3"/>
    </row>
    <row r="907" ht="14.25" customHeight="1">
      <c r="O907" s="3"/>
    </row>
    <row r="908" ht="14.25" customHeight="1">
      <c r="O908" s="3"/>
    </row>
    <row r="909" ht="14.25" customHeight="1">
      <c r="O909" s="3"/>
    </row>
    <row r="910" ht="14.25" customHeight="1">
      <c r="O910" s="3"/>
    </row>
    <row r="911" ht="14.25" customHeight="1">
      <c r="O911" s="3"/>
    </row>
    <row r="912" ht="14.25" customHeight="1">
      <c r="O912" s="3"/>
    </row>
    <row r="913" ht="14.25" customHeight="1">
      <c r="O913" s="3"/>
    </row>
    <row r="914" ht="14.25" customHeight="1">
      <c r="O914" s="3"/>
    </row>
    <row r="915" ht="14.25" customHeight="1">
      <c r="O915" s="3"/>
    </row>
    <row r="916" ht="14.25" customHeight="1">
      <c r="O916" s="3"/>
    </row>
    <row r="917" ht="14.25" customHeight="1">
      <c r="O917" s="3"/>
    </row>
    <row r="918" ht="14.25" customHeight="1">
      <c r="O918" s="3"/>
    </row>
    <row r="919" ht="14.25" customHeight="1">
      <c r="O919" s="3"/>
    </row>
    <row r="920" ht="14.25" customHeight="1">
      <c r="O920" s="3"/>
    </row>
    <row r="921" ht="14.25" customHeight="1">
      <c r="O921" s="3"/>
    </row>
    <row r="922" ht="14.25" customHeight="1">
      <c r="O922" s="3"/>
    </row>
    <row r="923" ht="14.25" customHeight="1">
      <c r="O923" s="3"/>
    </row>
    <row r="924" ht="14.25" customHeight="1">
      <c r="O924" s="3"/>
    </row>
    <row r="925" ht="14.25" customHeight="1">
      <c r="O925" s="3"/>
    </row>
    <row r="926" ht="14.25" customHeight="1">
      <c r="O926" s="3"/>
    </row>
    <row r="927" ht="14.25" customHeight="1">
      <c r="O927" s="3"/>
    </row>
    <row r="928" ht="14.25" customHeight="1">
      <c r="O928" s="3"/>
    </row>
    <row r="929" ht="14.25" customHeight="1">
      <c r="O929" s="3"/>
    </row>
    <row r="930" ht="14.25" customHeight="1">
      <c r="O930" s="3"/>
    </row>
    <row r="931" ht="14.25" customHeight="1">
      <c r="O931" s="3"/>
    </row>
    <row r="932" ht="14.25" customHeight="1">
      <c r="O932" s="3"/>
    </row>
    <row r="933" ht="14.25" customHeight="1">
      <c r="O933" s="3"/>
    </row>
    <row r="934" ht="14.25" customHeight="1">
      <c r="O934" s="3"/>
    </row>
    <row r="935" ht="14.25" customHeight="1">
      <c r="O935" s="3"/>
    </row>
    <row r="936" ht="14.25" customHeight="1">
      <c r="O936" s="3"/>
    </row>
    <row r="937" ht="14.25" customHeight="1">
      <c r="O937" s="3"/>
    </row>
    <row r="938" ht="14.25" customHeight="1">
      <c r="O938" s="3"/>
    </row>
    <row r="939" ht="14.25" customHeight="1">
      <c r="O939" s="3"/>
    </row>
    <row r="940" ht="14.25" customHeight="1">
      <c r="O940" s="3"/>
    </row>
    <row r="941" ht="14.25" customHeight="1">
      <c r="O941" s="3"/>
    </row>
    <row r="942" ht="14.25" customHeight="1">
      <c r="O942" s="3"/>
    </row>
    <row r="943" ht="14.25" customHeight="1">
      <c r="O943" s="3"/>
    </row>
    <row r="944" ht="14.25" customHeight="1">
      <c r="O944" s="3"/>
    </row>
    <row r="945" ht="14.25" customHeight="1">
      <c r="O945" s="3"/>
    </row>
    <row r="946" ht="14.25" customHeight="1">
      <c r="O946" s="3"/>
    </row>
    <row r="947" ht="14.25" customHeight="1">
      <c r="O947" s="3"/>
    </row>
    <row r="948" ht="14.25" customHeight="1">
      <c r="O948" s="3"/>
    </row>
    <row r="949" ht="14.25" customHeight="1">
      <c r="O949" s="3"/>
    </row>
    <row r="950" ht="14.25" customHeight="1">
      <c r="O950" s="3"/>
    </row>
    <row r="951" ht="14.25" customHeight="1">
      <c r="O951" s="3"/>
    </row>
    <row r="952" ht="14.25" customHeight="1">
      <c r="O952" s="3"/>
    </row>
    <row r="953" ht="14.25" customHeight="1">
      <c r="O953" s="3"/>
    </row>
    <row r="954" ht="14.25" customHeight="1">
      <c r="O954" s="3"/>
    </row>
    <row r="955" ht="14.25" customHeight="1">
      <c r="O955" s="3"/>
    </row>
    <row r="956" ht="14.25" customHeight="1">
      <c r="O956" s="3"/>
    </row>
    <row r="957" ht="14.25" customHeight="1">
      <c r="O957" s="3"/>
    </row>
    <row r="958" ht="14.25" customHeight="1">
      <c r="O958" s="3"/>
    </row>
    <row r="959" ht="14.25" customHeight="1">
      <c r="O959" s="3"/>
    </row>
    <row r="960" ht="14.25" customHeight="1">
      <c r="O960" s="3"/>
    </row>
    <row r="961" ht="14.25" customHeight="1">
      <c r="O961" s="3"/>
    </row>
    <row r="962" ht="14.25" customHeight="1">
      <c r="O962" s="3"/>
    </row>
    <row r="963" ht="14.25" customHeight="1">
      <c r="O963" s="3"/>
    </row>
    <row r="964" ht="14.25" customHeight="1">
      <c r="O964" s="3"/>
    </row>
    <row r="965" ht="14.25" customHeight="1">
      <c r="O965" s="3"/>
    </row>
    <row r="966" ht="14.25" customHeight="1">
      <c r="O966" s="3"/>
    </row>
    <row r="967" ht="14.25" customHeight="1">
      <c r="O967" s="3"/>
    </row>
    <row r="968" ht="14.25" customHeight="1">
      <c r="O968" s="3"/>
    </row>
    <row r="969" ht="14.25" customHeight="1">
      <c r="O969" s="3"/>
    </row>
    <row r="970" ht="14.25" customHeight="1">
      <c r="O970" s="3"/>
    </row>
    <row r="971" ht="14.25" customHeight="1">
      <c r="O971" s="3"/>
    </row>
    <row r="972" ht="14.25" customHeight="1">
      <c r="O972" s="3"/>
    </row>
    <row r="973" ht="14.25" customHeight="1">
      <c r="O973" s="3"/>
    </row>
    <row r="974" ht="14.25" customHeight="1">
      <c r="O974" s="3"/>
    </row>
    <row r="975" ht="14.25" customHeight="1">
      <c r="O975" s="3"/>
    </row>
    <row r="976" ht="14.25" customHeight="1">
      <c r="O976" s="3"/>
    </row>
    <row r="977" ht="14.25" customHeight="1">
      <c r="O977" s="3"/>
    </row>
    <row r="978" ht="14.25" customHeight="1">
      <c r="O978" s="3"/>
    </row>
    <row r="979" ht="14.25" customHeight="1">
      <c r="O979" s="3"/>
    </row>
    <row r="980" ht="14.25" customHeight="1">
      <c r="O980" s="3"/>
    </row>
    <row r="981" ht="14.25" customHeight="1">
      <c r="O981" s="3"/>
    </row>
    <row r="982" ht="14.25" customHeight="1">
      <c r="O982" s="3"/>
    </row>
    <row r="983" ht="14.25" customHeight="1">
      <c r="O983" s="3"/>
    </row>
    <row r="984" ht="14.25" customHeight="1">
      <c r="O984" s="3"/>
    </row>
    <row r="985" ht="14.25" customHeight="1">
      <c r="O985" s="3"/>
    </row>
    <row r="986" ht="14.25" customHeight="1">
      <c r="O986" s="3"/>
    </row>
    <row r="987" ht="14.25" customHeight="1">
      <c r="O987" s="3"/>
    </row>
    <row r="988" ht="14.25" customHeight="1">
      <c r="O988" s="3"/>
    </row>
    <row r="989" ht="14.25" customHeight="1">
      <c r="O989" s="3"/>
    </row>
    <row r="990" ht="14.25" customHeight="1">
      <c r="O990" s="3"/>
    </row>
    <row r="991" ht="14.25" customHeight="1">
      <c r="O991" s="3"/>
    </row>
    <row r="992" ht="14.25" customHeight="1">
      <c r="O992" s="3"/>
    </row>
    <row r="993" ht="14.25" customHeight="1">
      <c r="O993" s="3"/>
    </row>
    <row r="994" ht="14.25" customHeight="1">
      <c r="O994" s="3"/>
    </row>
    <row r="995" ht="14.25" customHeight="1">
      <c r="O995" s="3"/>
    </row>
    <row r="996" ht="14.25" customHeight="1">
      <c r="O996" s="3"/>
    </row>
    <row r="997" ht="14.25" customHeight="1">
      <c r="O997" s="3"/>
    </row>
    <row r="998" ht="14.25" customHeight="1">
      <c r="O998" s="3"/>
    </row>
    <row r="999" ht="14.25" customHeight="1">
      <c r="O999" s="3"/>
    </row>
    <row r="1000" ht="14.25" customHeight="1">
      <c r="O1000" s="3"/>
    </row>
  </sheetData>
  <printOptions/>
  <pageMargins bottom="0.75" footer="0.0" header="0.0" left="0.7" right="0.7" top="0.75"/>
  <pageSetup orientation="landscape"/>
  <drawing r:id="rId1"/>
</worksheet>
</file>